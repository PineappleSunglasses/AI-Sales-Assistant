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collegeingenieurs.sharepoint.com/sites/G5AISummerChallenge/Freigegebene Dokumente/General/01_Rohde &amp; Schwarz Documents/Case 1/Premises/"/>
    </mc:Choice>
  </mc:AlternateContent>
  <xr:revisionPtr revIDLastSave="10" documentId="13_ncr:1_{1924DC85-E5B3-4A6A-81EC-F105257B80F8}" xr6:coauthVersionLast="47" xr6:coauthVersionMax="47" xr10:uidLastSave="{E805EC25-ED86-485D-981F-DA97ACC9AC6B}"/>
  <bookViews>
    <workbookView xWindow="4440" yWindow="760" windowWidth="24960" windowHeight="15720" xr2:uid="{00000000-000D-0000-FFFF-FFFF00000000}"/>
  </bookViews>
  <sheets>
    <sheet name="BY2627" sheetId="1" r:id="rId1"/>
    <sheet name="SCR Hosted by March, 31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G13" i="1"/>
  <c r="G15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G58" i="1" l="1"/>
  <c r="G57" i="1"/>
  <c r="G56" i="1"/>
  <c r="G55" i="1"/>
  <c r="G54" i="1"/>
  <c r="G53" i="1"/>
  <c r="G52" i="1"/>
  <c r="G51" i="1"/>
  <c r="G50" i="1"/>
  <c r="F50" i="1" s="1"/>
  <c r="G49" i="1"/>
  <c r="G48" i="1"/>
  <c r="G47" i="1"/>
  <c r="G46" i="1"/>
  <c r="G45" i="1"/>
  <c r="G44" i="1"/>
  <c r="G43" i="1"/>
  <c r="G42" i="1"/>
  <c r="G41" i="1"/>
  <c r="F41" i="1" s="1"/>
  <c r="G40" i="1"/>
  <c r="G39" i="1"/>
  <c r="G38" i="1"/>
  <c r="G37" i="1"/>
  <c r="G36" i="1"/>
  <c r="F36" i="1" s="1"/>
  <c r="G35" i="1"/>
  <c r="G34" i="1"/>
  <c r="G33" i="1"/>
  <c r="G32" i="1"/>
  <c r="G31" i="1"/>
  <c r="G30" i="1"/>
  <c r="G29" i="1"/>
  <c r="G28" i="1"/>
  <c r="G27" i="1"/>
  <c r="F27" i="1" s="1"/>
  <c r="G26" i="1"/>
  <c r="G25" i="1"/>
  <c r="G24" i="1"/>
  <c r="G23" i="1"/>
  <c r="G22" i="1"/>
  <c r="G21" i="1"/>
  <c r="G20" i="1"/>
  <c r="G19" i="1"/>
  <c r="G18" i="1"/>
  <c r="G17" i="1"/>
  <c r="G16" i="1"/>
  <c r="G14" i="1"/>
  <c r="F55" i="1"/>
  <c r="A55" i="1"/>
  <c r="A56" i="1"/>
  <c r="A57" i="1"/>
  <c r="A58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13" i="1"/>
  <c r="F29" i="1" l="1"/>
  <c r="F43" i="1"/>
  <c r="F22" i="1"/>
  <c r="F57" i="1"/>
  <c r="F15" i="1"/>
  <c r="F58" i="1"/>
  <c r="F14" i="1"/>
  <c r="F28" i="1"/>
  <c r="F42" i="1"/>
  <c r="F56" i="1"/>
  <c r="F24" i="1"/>
  <c r="F38" i="1"/>
  <c r="F52" i="1"/>
  <c r="F37" i="1"/>
  <c r="F25" i="1"/>
  <c r="F39" i="1"/>
  <c r="F23" i="1"/>
  <c r="F40" i="1"/>
  <c r="F26" i="1"/>
  <c r="F54" i="1"/>
  <c r="F21" i="1"/>
  <c r="F49" i="1"/>
  <c r="F30" i="1"/>
  <c r="F17" i="1"/>
  <c r="F31" i="1"/>
  <c r="F18" i="1"/>
  <c r="F46" i="1"/>
  <c r="F47" i="1"/>
  <c r="F16" i="1"/>
  <c r="F44" i="1"/>
  <c r="F45" i="1"/>
  <c r="F32" i="1"/>
  <c r="F19" i="1"/>
  <c r="F33" i="1"/>
  <c r="F51" i="1"/>
  <c r="F20" i="1"/>
  <c r="F34" i="1"/>
  <c r="F48" i="1"/>
  <c r="F53" i="1"/>
  <c r="F35" i="1"/>
</calcChain>
</file>

<file path=xl/sharedStrings.xml><?xml version="1.0" encoding="utf-8"?>
<sst xmlns="http://schemas.openxmlformats.org/spreadsheetml/2006/main" count="1087" uniqueCount="271">
  <si>
    <t>v01 - 2026-04-05</t>
  </si>
  <si>
    <t>expand for Div11</t>
  </si>
  <si>
    <t>expand for 9S, UB5, UB6; Others</t>
  </si>
  <si>
    <t>BUDGET 2026/27</t>
  </si>
  <si>
    <t>Hosted Ressources</t>
  </si>
  <si>
    <t>1. Enter your Company:</t>
  </si>
  <si>
    <t>RSAUS</t>
  </si>
  <si>
    <t>2. Enter company location (e.g. Sydney, Brisbane, etc)</t>
  </si>
  <si>
    <t>3. Check Hosted SCR in Actual (in seperate sheet in this workbook)</t>
  </si>
  <si>
    <t>3. Enter Partner Company (contract partner for hosted persons)</t>
  </si>
  <si>
    <t>4. Enter the Budget 26/27 amount of hosted persons (per June 30th, 2027), income (in kEUR) and the mark-up (in %) per Div/UB</t>
  </si>
  <si>
    <t>Total</t>
  </si>
  <si>
    <t>DIV1</t>
  </si>
  <si>
    <t>DIV8</t>
  </si>
  <si>
    <t>DIV11</t>
  </si>
  <si>
    <t>UB12</t>
  </si>
  <si>
    <t>UB14</t>
  </si>
  <si>
    <t>9S (Service)</t>
  </si>
  <si>
    <t>UB5</t>
  </si>
  <si>
    <t>UB6</t>
  </si>
  <si>
    <t>Others</t>
  </si>
  <si>
    <t>Comment</t>
  </si>
  <si>
    <t>Company</t>
  </si>
  <si>
    <t>Location</t>
  </si>
  <si>
    <t>Partner Company</t>
  </si>
  <si>
    <t>Hosted</t>
  </si>
  <si>
    <t>Income (in kEUR)</t>
  </si>
  <si>
    <t>Mark-up in %</t>
  </si>
  <si>
    <t>Mark-up</t>
  </si>
  <si>
    <t>Headcount</t>
  </si>
  <si>
    <t>additional information (Segment, Subdivison, etc)</t>
  </si>
  <si>
    <t>Sales Office NZ</t>
  </si>
  <si>
    <t>Actual 31.03.2026</t>
  </si>
  <si>
    <t>Region</t>
  </si>
  <si>
    <t>Division</t>
  </si>
  <si>
    <t>Subtype SCR</t>
  </si>
  <si>
    <t>Total SCR</t>
  </si>
  <si>
    <t>AP</t>
  </si>
  <si>
    <t>PT. R&amp;S Indonesia (RSINDO)</t>
  </si>
  <si>
    <t>5</t>
  </si>
  <si>
    <t>Jakarta</t>
  </si>
  <si>
    <t>R&amp;S (WuHan) Sales Co., Ltd.</t>
  </si>
  <si>
    <t>Wuhan</t>
  </si>
  <si>
    <t>R&amp;S (WuHan) Sales Co.Ltd. (BJ)</t>
  </si>
  <si>
    <t>Beijing</t>
  </si>
  <si>
    <t>R&amp;S (WuHan) Sales Co.Ltd. (CD)</t>
  </si>
  <si>
    <t>Chengdu</t>
  </si>
  <si>
    <t>R&amp;S (WuHan) Sales Co.Ltd. (SH)</t>
  </si>
  <si>
    <t>Shanghai</t>
  </si>
  <si>
    <t>R&amp;S (WuHan) Sales Co.Ltd. (SZ)</t>
  </si>
  <si>
    <t>Shenzhen</t>
  </si>
  <si>
    <t>R&amp;S Asia Pte. Ltd. (RSASIA)</t>
  </si>
  <si>
    <t>RSASI</t>
  </si>
  <si>
    <t>Singapore (CBP)</t>
  </si>
  <si>
    <t>Singapore (LY)</t>
  </si>
  <si>
    <t>R&amp;S Australia Pty. Ltd. (RSAUS</t>
  </si>
  <si>
    <t>Adelaide</t>
  </si>
  <si>
    <t>Brisbane</t>
  </si>
  <si>
    <t>Canberra</t>
  </si>
  <si>
    <t>R&amp;S GmbH &amp; Co. KG (RSM)</t>
  </si>
  <si>
    <t>Melbourne</t>
  </si>
  <si>
    <t>RSASIA</t>
  </si>
  <si>
    <t>Sydney</t>
  </si>
  <si>
    <t>R&amp;S Reg. HQ Singapore (RSRHQS)</t>
  </si>
  <si>
    <t>R&amp;S Comm. Technology(RS-CT BJ)</t>
  </si>
  <si>
    <t>R&amp;S Comm. Technology(RS-CT SH)</t>
  </si>
  <si>
    <t>R&amp;S Comm. Technology(RS-CT SZ)</t>
  </si>
  <si>
    <t>R&amp;S Hong Kong Limited (RSHK)</t>
  </si>
  <si>
    <t>Hong Kong</t>
  </si>
  <si>
    <t>R&amp;S India (Systems) Priv. Ltd.</t>
  </si>
  <si>
    <t>Bangalore</t>
  </si>
  <si>
    <t>Hyderabad</t>
  </si>
  <si>
    <t>New Delhi</t>
  </si>
  <si>
    <t>R&amp;S India Priv. Ltd.(RSINDIA)</t>
  </si>
  <si>
    <t>1</t>
  </si>
  <si>
    <t>Mumbai</t>
  </si>
  <si>
    <t>R&amp;S Japan K.K.(RSJ)</t>
  </si>
  <si>
    <t>Osaka</t>
  </si>
  <si>
    <t>Saitama</t>
  </si>
  <si>
    <t>Tokyo</t>
  </si>
  <si>
    <t>R&amp;S Korea Limited (RSK)</t>
  </si>
  <si>
    <t>Seoul</t>
  </si>
  <si>
    <t>Daejeon</t>
  </si>
  <si>
    <t>Gumi</t>
  </si>
  <si>
    <t>Yongin</t>
  </si>
  <si>
    <t>R&amp;S Malaysia Sdn. Bhd. (RSMY)</t>
  </si>
  <si>
    <t>Kuala Lumpur</t>
  </si>
  <si>
    <t>Penang</t>
  </si>
  <si>
    <t>R&amp;S Philippines Inc. (RS-PHIL)</t>
  </si>
  <si>
    <t>Makati City</t>
  </si>
  <si>
    <t>5GC</t>
  </si>
  <si>
    <t>5AP</t>
  </si>
  <si>
    <t>R&amp;S Taiwan Ltd. (RSTW)</t>
  </si>
  <si>
    <t>Taipei</t>
  </si>
  <si>
    <t>R&amp;S China Limited (RSCN)</t>
  </si>
  <si>
    <t>R&amp;S Techn.Co.Ltd. (RSCHINA BJ)</t>
  </si>
  <si>
    <t>R&amp;S Techn.Co.Ltd. (RSCHINA SH)</t>
  </si>
  <si>
    <t>R&amp;S Techn.Co.Ltd. (RSCHINA SZ)</t>
  </si>
  <si>
    <t>R&amp;S Technologies Sdn.Bh(RSTMY)</t>
  </si>
  <si>
    <t>3</t>
  </si>
  <si>
    <t>Johor Bahru</t>
  </si>
  <si>
    <t>R&amp;S Thailand (RSTH)</t>
  </si>
  <si>
    <t>Bangkok</t>
  </si>
  <si>
    <t>R&amp;S Vietnam Co. Ltd. (RSVN)</t>
  </si>
  <si>
    <t>Hanoi</t>
  </si>
  <si>
    <t>Ho Chi Minh</t>
  </si>
  <si>
    <t>RSI Technik Sdn. Bhd. (RSIMY)</t>
  </si>
  <si>
    <t>Zurich Instruments China Ltd.</t>
  </si>
  <si>
    <t>EU</t>
  </si>
  <si>
    <t>ARPEGE S.A.S</t>
  </si>
  <si>
    <t>8</t>
  </si>
  <si>
    <t>La Ciotat</t>
  </si>
  <si>
    <t>ipoque GmbH</t>
  </si>
  <si>
    <t>Berlin</t>
  </si>
  <si>
    <t>Haiger</t>
  </si>
  <si>
    <t>Leipzig</t>
  </si>
  <si>
    <t>LANCOM Systems GmbH</t>
  </si>
  <si>
    <t>11</t>
  </si>
  <si>
    <t>Hamburg</t>
  </si>
  <si>
    <t>Karlsruhe</t>
  </si>
  <si>
    <t>Würselen</t>
  </si>
  <si>
    <t>5-X (Sales overall incl. GF-M)</t>
  </si>
  <si>
    <t>R&amp;S Cybersecurity GmbH</t>
  </si>
  <si>
    <t>R&amp;S Benelux  (RSBNL)</t>
  </si>
  <si>
    <t>Utrecht</t>
  </si>
  <si>
    <t>5EU</t>
  </si>
  <si>
    <t>Köln</t>
  </si>
  <si>
    <t>München</t>
  </si>
  <si>
    <t>R&amp;S Denmark A/S (RSDK)</t>
  </si>
  <si>
    <t>Herlev</t>
  </si>
  <si>
    <t>R&amp;S Sverige AB (RSS)</t>
  </si>
  <si>
    <t>Riga Latvia</t>
  </si>
  <si>
    <t>R&amp;S Denmark A/S Latvia</t>
  </si>
  <si>
    <t>Tallinn Estonia</t>
  </si>
  <si>
    <t>R&amp;S Denmark A/S Estonia</t>
  </si>
  <si>
    <t>Vilnius Lithuan</t>
  </si>
  <si>
    <t>R&amp;S Denmark A/S Lithuania</t>
  </si>
  <si>
    <t>Aalborg</t>
  </si>
  <si>
    <t>R&amp;S Espana, S.A. (RSES)</t>
  </si>
  <si>
    <t>Madrid</t>
  </si>
  <si>
    <t>14</t>
  </si>
  <si>
    <t>R&amp;S Portugal Lda. (RSP)</t>
  </si>
  <si>
    <t>R&amp;S Finland Oy (RSFIN)</t>
  </si>
  <si>
    <t>Oulu</t>
  </si>
  <si>
    <t>Vantaa</t>
  </si>
  <si>
    <t>R&amp;S International GmbH (RUSIG)</t>
  </si>
  <si>
    <t>R&amp;S France S.A.S (RSF)</t>
  </si>
  <si>
    <t>Meudon-la-foret</t>
  </si>
  <si>
    <t>R&amp;S UK Ltd. (RSUK)</t>
  </si>
  <si>
    <t>R&amp;S Group Services GmbH</t>
  </si>
  <si>
    <t>12</t>
  </si>
  <si>
    <t>6</t>
  </si>
  <si>
    <t>R&amp;S Hellas A.E. (RSGR)</t>
  </si>
  <si>
    <t>Athens</t>
  </si>
  <si>
    <t>R&amp;S Hungaria Kft. (RSH)</t>
  </si>
  <si>
    <t>Budapest</t>
  </si>
  <si>
    <t>R&amp;S Immobilienmgment (RUSIM)</t>
  </si>
  <si>
    <t>RE</t>
  </si>
  <si>
    <t>R&amp;S INRADIOS GmbH</t>
  </si>
  <si>
    <t>Dresden</t>
  </si>
  <si>
    <t>Astana(KAZ)</t>
  </si>
  <si>
    <t>RUSIG Kazakhstan</t>
  </si>
  <si>
    <t>Hannover</t>
  </si>
  <si>
    <t>5LA</t>
  </si>
  <si>
    <t>5ME (Middle East &amp; Africa)</t>
  </si>
  <si>
    <t>A</t>
  </si>
  <si>
    <t>R&amp;S Österreich GmbH</t>
  </si>
  <si>
    <t>R&amp;S Vertriebs GmbH (RSV)</t>
  </si>
  <si>
    <t>ATZ</t>
  </si>
  <si>
    <t>R&amp;S Italia s.p.a. (RSI)</t>
  </si>
  <si>
    <t>Milan</t>
  </si>
  <si>
    <t>Rome</t>
  </si>
  <si>
    <t>R&amp;S SwissQual AG</t>
  </si>
  <si>
    <t>R&amp;S Norge AS (RSNO)</t>
  </si>
  <si>
    <t>Oslo</t>
  </si>
  <si>
    <t>R&amp;S Österreich GmbH (RSÖ)</t>
  </si>
  <si>
    <t>Vienna</t>
  </si>
  <si>
    <t>Belgrade (SM)</t>
  </si>
  <si>
    <t>R&amp;S Österreich GmbH Serbia</t>
  </si>
  <si>
    <t>R&amp;S Österreich GmbH Bulgaria</t>
  </si>
  <si>
    <t>Sofia</t>
  </si>
  <si>
    <t>R&amp;S Österreich GmbH Slovenia</t>
  </si>
  <si>
    <t>Ljubljana</t>
  </si>
  <si>
    <t>R&amp;S Österreich GmbH Ukraine</t>
  </si>
  <si>
    <t>Kiev</t>
  </si>
  <si>
    <t>R&amp;S Polska Sp. z o.o (RSPL)</t>
  </si>
  <si>
    <t>Warschau</t>
  </si>
  <si>
    <t>Linda-a-Velha</t>
  </si>
  <si>
    <t>R&amp;S Praha, s.r.o. (RSCZ)</t>
  </si>
  <si>
    <t>Praha</t>
  </si>
  <si>
    <t>R&amp;S Romania S.R.L. (RSRS)</t>
  </si>
  <si>
    <t>Bucharest</t>
  </si>
  <si>
    <t>R&amp;S Services Ltd. (RSSUK)</t>
  </si>
  <si>
    <t>Fleet (MTCUK)</t>
  </si>
  <si>
    <t>Fleet (RSSUK)</t>
  </si>
  <si>
    <t>Remote (RSSUK)</t>
  </si>
  <si>
    <t>R&amp;S SIT GmbH (SIT)</t>
  </si>
  <si>
    <t>Stuttgart</t>
  </si>
  <si>
    <t>Skarpnäck</t>
  </si>
  <si>
    <t>Göteborg</t>
  </si>
  <si>
    <t>Lund</t>
  </si>
  <si>
    <t>R&amp;S Technology Ct. A/S (RSTCDK</t>
  </si>
  <si>
    <t>R&amp;S Topex S.A.</t>
  </si>
  <si>
    <t>R&amp;S Türkei LtdS (RSTR)</t>
  </si>
  <si>
    <t>Ankara</t>
  </si>
  <si>
    <t>Istanbul</t>
  </si>
  <si>
    <t>Fleet</t>
  </si>
  <si>
    <t>ZES Zimmer</t>
  </si>
  <si>
    <t>GF</t>
  </si>
  <si>
    <t>R&amp;S závod Vimperk s.r.o.(RUSV)</t>
  </si>
  <si>
    <t>Vimperk</t>
  </si>
  <si>
    <t>Rohde &amp; Schwarz Schweiz AG</t>
  </si>
  <si>
    <t>Ittigen</t>
  </si>
  <si>
    <t>Rohde &amp; Schwarz SwissQual AG</t>
  </si>
  <si>
    <t>Zuchwil</t>
  </si>
  <si>
    <t>ROHDE AND SCHWARZ ISRAEL LTD</t>
  </si>
  <si>
    <t>Ra‘anana</t>
  </si>
  <si>
    <t>RPG Radiometer Physics GmbH</t>
  </si>
  <si>
    <t>Meckenheim</t>
  </si>
  <si>
    <t>Schönhofer Sales &amp; Engineering</t>
  </si>
  <si>
    <t>Bonn</t>
  </si>
  <si>
    <t>Siegburg</t>
  </si>
  <si>
    <t>ZES ZIMMER Electronic Systems</t>
  </si>
  <si>
    <t>Oberursel</t>
  </si>
  <si>
    <t>Zurich Instruments AG</t>
  </si>
  <si>
    <t>Zurich</t>
  </si>
  <si>
    <t>Zurich Instruments France</t>
  </si>
  <si>
    <t>Lhor</t>
  </si>
  <si>
    <t>Zurich Instruments GermanyGmbH</t>
  </si>
  <si>
    <t>LA</t>
  </si>
  <si>
    <t>R&amp;S Argentina SA (RSAR)</t>
  </si>
  <si>
    <t>Buenos Aires</t>
  </si>
  <si>
    <t>R&amp;S Colombia S.A. (RSCO)</t>
  </si>
  <si>
    <t>Bogota</t>
  </si>
  <si>
    <t>R&amp;S Colombia S.A.S. - Sucursal Perú</t>
  </si>
  <si>
    <t>R&amp;S Regional HQ LA (RSLA)</t>
  </si>
  <si>
    <t>R&amp;S Colombia SAS-Sucursal Perú</t>
  </si>
  <si>
    <t>Lima</t>
  </si>
  <si>
    <t>R&amp;S de Mexico S.de R.L.(RSMX)</t>
  </si>
  <si>
    <t>Mexico City</t>
  </si>
  <si>
    <t>Monterrey</t>
  </si>
  <si>
    <t>Tijuana</t>
  </si>
  <si>
    <t>R&amp;S do Brasil Ltda. (RSDB)</t>
  </si>
  <si>
    <t>Sao Paulo</t>
  </si>
  <si>
    <t>ME</t>
  </si>
  <si>
    <t>Rwanda</t>
  </si>
  <si>
    <t>R&amp;S Emirates L.L.C. (RSEMIR)</t>
  </si>
  <si>
    <t>Abu Dhabi</t>
  </si>
  <si>
    <t>R&amp;S Saudi Arabia Ltd (RSSAUDI)</t>
  </si>
  <si>
    <t>R&amp;S Middle East Africa (RSMEA)</t>
  </si>
  <si>
    <t>Dubai</t>
  </si>
  <si>
    <t>R&amp;S Pakistan (Priv.)Ltd (RSPK)</t>
  </si>
  <si>
    <t>Islamabad</t>
  </si>
  <si>
    <t>Karachi</t>
  </si>
  <si>
    <t>Riyadh</t>
  </si>
  <si>
    <t>NA</t>
  </si>
  <si>
    <t>R&amp;S Canada Inc. (RSC)</t>
  </si>
  <si>
    <t>Kanata, Ontario</t>
  </si>
  <si>
    <t>Remote</t>
  </si>
  <si>
    <t>R&amp;S Federal System, Inc.</t>
  </si>
  <si>
    <t>Columbia</t>
  </si>
  <si>
    <t>R&amp;S USA, Inc. (RSA)</t>
  </si>
  <si>
    <t>Hillsboro</t>
  </si>
  <si>
    <t>Burbank</t>
  </si>
  <si>
    <t>Dallas</t>
  </si>
  <si>
    <t>Doral</t>
  </si>
  <si>
    <t>Irvine</t>
  </si>
  <si>
    <t>Milpitas</t>
  </si>
  <si>
    <t>San Diego</t>
  </si>
  <si>
    <t>Zurich Instruments USA, Inc.</t>
  </si>
  <si>
    <t>Waltham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</si>
</sst>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3"/>
      <name val="Arial"/>
      <family val="2"/>
    </font>
    <font>
      <b/>
      <sz val="14"/>
      <color indexed="56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/>
      <right/>
      <top style="mediumDashed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Dash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thin">
        <color indexed="64"/>
      </left>
      <right style="mediumDashed">
        <color indexed="64"/>
      </right>
      <top/>
      <bottom/>
      <diagonal/>
    </border>
    <border>
      <left style="thin">
        <color indexed="64"/>
      </left>
      <right style="mediumDashed">
        <color indexed="64"/>
      </right>
      <top/>
      <bottom style="mediumDashed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Dashed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mediumDashed">
        <color indexed="6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0"/>
      </right>
      <top/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0" fillId="0" borderId="15" applyNumberFormat="0" applyFill="0" applyAlignment="0" applyProtection="0"/>
    <xf numFmtId="0" fontId="1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7" fillId="2" borderId="0" xfId="0" applyFont="1" applyFill="1"/>
    <xf numFmtId="0" fontId="7" fillId="2" borderId="4" xfId="0" applyFont="1" applyFill="1" applyBorder="1"/>
    <xf numFmtId="0" fontId="7" fillId="2" borderId="6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9" fontId="0" fillId="4" borderId="1" xfId="0" applyNumberFormat="1" applyFill="1" applyBorder="1"/>
    <xf numFmtId="0" fontId="0" fillId="4" borderId="4" xfId="0" applyFill="1" applyBorder="1"/>
    <xf numFmtId="9" fontId="0" fillId="4" borderId="0" xfId="0" applyNumberFormat="1" applyFill="1"/>
    <xf numFmtId="0" fontId="0" fillId="4" borderId="6" xfId="0" applyFill="1" applyBorder="1"/>
    <xf numFmtId="0" fontId="0" fillId="4" borderId="3" xfId="0" applyFill="1" applyBorder="1"/>
    <xf numFmtId="0" fontId="0" fillId="4" borderId="2" xfId="0" applyFill="1" applyBorder="1"/>
    <xf numFmtId="9" fontId="0" fillId="4" borderId="2" xfId="0" applyNumberFormat="1" applyFill="1" applyBorder="1"/>
    <xf numFmtId="0" fontId="0" fillId="4" borderId="8" xfId="0" applyFill="1" applyBorder="1"/>
    <xf numFmtId="0" fontId="0" fillId="3" borderId="5" xfId="0" applyFill="1" applyBorder="1"/>
    <xf numFmtId="9" fontId="0" fillId="3" borderId="1" xfId="1" applyFont="1" applyFill="1" applyBorder="1"/>
    <xf numFmtId="0" fontId="0" fillId="3" borderId="4" xfId="0" applyFill="1" applyBorder="1"/>
    <xf numFmtId="9" fontId="0" fillId="3" borderId="0" xfId="1" applyFont="1" applyFill="1" applyBorder="1"/>
    <xf numFmtId="0" fontId="0" fillId="3" borderId="3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6" fillId="2" borderId="0" xfId="0" applyFont="1" applyFill="1"/>
    <xf numFmtId="3" fontId="0" fillId="4" borderId="7" xfId="0" applyNumberFormat="1" applyFill="1" applyBorder="1"/>
    <xf numFmtId="3" fontId="0" fillId="3" borderId="5" xfId="1" applyNumberFormat="1" applyFont="1" applyFill="1" applyBorder="1"/>
    <xf numFmtId="3" fontId="0" fillId="3" borderId="4" xfId="1" applyNumberFormat="1" applyFont="1" applyFill="1" applyBorder="1"/>
    <xf numFmtId="3" fontId="0" fillId="3" borderId="3" xfId="1" applyNumberFormat="1" applyFont="1" applyFill="1" applyBorder="1"/>
    <xf numFmtId="0" fontId="8" fillId="0" borderId="0" xfId="0" applyFont="1"/>
    <xf numFmtId="0" fontId="0" fillId="3" borderId="0" xfId="0" applyFill="1"/>
    <xf numFmtId="0" fontId="0" fillId="4" borderId="0" xfId="0" applyFill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9" fillId="3" borderId="16" xfId="0" applyFont="1" applyFill="1" applyBorder="1"/>
    <xf numFmtId="0" fontId="11" fillId="0" borderId="0" xfId="2" applyFont="1" applyFill="1" applyBorder="1" applyAlignment="1" applyProtection="1">
      <alignment vertical="top"/>
    </xf>
    <xf numFmtId="0" fontId="12" fillId="0" borderId="0" xfId="0" applyFont="1"/>
    <xf numFmtId="3" fontId="0" fillId="3" borderId="17" xfId="0" applyNumberFormat="1" applyFill="1" applyBorder="1"/>
    <xf numFmtId="3" fontId="0" fillId="3" borderId="18" xfId="0" applyNumberFormat="1" applyFill="1" applyBorder="1"/>
    <xf numFmtId="3" fontId="0" fillId="3" borderId="19" xfId="0" applyNumberFormat="1" applyFill="1" applyBorder="1"/>
    <xf numFmtId="0" fontId="6" fillId="2" borderId="4" xfId="0" applyFont="1" applyFill="1" applyBorder="1" applyAlignment="1">
      <alignment horizontal="center"/>
    </xf>
    <xf numFmtId="3" fontId="0" fillId="4" borderId="1" xfId="0" applyNumberFormat="1" applyFill="1" applyBorder="1"/>
    <xf numFmtId="3" fontId="0" fillId="4" borderId="0" xfId="0" applyNumberFormat="1" applyFill="1"/>
    <xf numFmtId="3" fontId="0" fillId="4" borderId="2" xfId="0" applyNumberFormat="1" applyFill="1" applyBorder="1"/>
    <xf numFmtId="3" fontId="0" fillId="4" borderId="5" xfId="0" applyNumberFormat="1" applyFill="1" applyBorder="1"/>
    <xf numFmtId="0" fontId="1" fillId="0" borderId="0" xfId="3"/>
    <xf numFmtId="0" fontId="14" fillId="6" borderId="21" xfId="3" applyFont="1" applyFill="1" applyBorder="1" applyAlignment="1">
      <alignment wrapText="1"/>
    </xf>
    <xf numFmtId="0" fontId="14" fillId="6" borderId="22" xfId="3" applyFont="1" applyFill="1" applyBorder="1" applyAlignment="1">
      <alignment wrapText="1"/>
    </xf>
    <xf numFmtId="0" fontId="14" fillId="2" borderId="22" xfId="3" applyFont="1" applyFill="1" applyBorder="1" applyAlignment="1">
      <alignment wrapText="1"/>
    </xf>
    <xf numFmtId="0" fontId="15" fillId="0" borderId="23" xfId="3" applyFont="1" applyBorder="1"/>
    <xf numFmtId="0" fontId="1" fillId="3" borderId="23" xfId="3" applyFill="1" applyBorder="1"/>
    <xf numFmtId="0" fontId="1" fillId="0" borderId="23" xfId="3" applyBorder="1"/>
    <xf numFmtId="0" fontId="15" fillId="0" borderId="24" xfId="3" applyFont="1" applyBorder="1"/>
    <xf numFmtId="0" fontId="1" fillId="3" borderId="24" xfId="3" applyFill="1" applyBorder="1"/>
    <xf numFmtId="0" fontId="1" fillId="0" borderId="24" xfId="3" applyBorder="1"/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3" fillId="6" borderId="20" xfId="3" applyFont="1" applyFill="1" applyBorder="1" applyAlignment="1">
      <alignment horizontal="center"/>
    </xf>
  </cellXfs>
  <cellStyles count="4">
    <cellStyle name="Normal" xfId="0" builtinId="0"/>
    <cellStyle name="Normal 2" xfId="3" xr:uid="{5B4AC7C4-950D-4490-8BA6-84EEB6F339E1}"/>
    <cellStyle name="Pourcentage" xfId="1" builtinId="5"/>
    <cellStyle name="Titre 3" xfId="2" builtinId="18"/>
  </cellStyles>
  <dxfs count="12">
    <dxf>
      <numFmt numFmtId="0" formatCode="General"/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border outline="0">
        <top style="thin">
          <color rgb="FFBFC3C6"/>
        </top>
      </border>
    </dxf>
    <dxf>
      <border outline="0">
        <bottom style="thin">
          <color rgb="FF003E76"/>
        </bottom>
      </border>
    </dxf>
    <dxf>
      <border outline="0">
        <top style="thin">
          <color rgb="FF003E76"/>
        </top>
        <bottom style="thin">
          <color rgb="FFBFC3C6"/>
        </bottom>
      </border>
    </dxf>
    <dxf>
      <fill>
        <patternFill patternType="solid">
          <fgColor rgb="FF000000"/>
          <bgColor rgb="FFFDDD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5</xdr:row>
      <xdr:rowOff>57150</xdr:rowOff>
    </xdr:from>
    <xdr:to>
      <xdr:col>0</xdr:col>
      <xdr:colOff>771526</xdr:colOff>
      <xdr:row>11</xdr:row>
      <xdr:rowOff>0</xdr:rowOff>
    </xdr:to>
    <xdr:sp macro="" textlink="">
      <xdr:nvSpPr>
        <xdr:cNvPr id="24" name="Pfeil: nach rechts gekrümmt 23">
          <a:extLst>
            <a:ext uri="{FF2B5EF4-FFF2-40B4-BE49-F238E27FC236}">
              <a16:creationId xmlns:a16="http://schemas.microsoft.com/office/drawing/2014/main" id="{1EAD7950-F9D8-6B7C-A796-C4DDB52B1207}"/>
            </a:ext>
          </a:extLst>
        </xdr:cNvPr>
        <xdr:cNvSpPr/>
      </xdr:nvSpPr>
      <xdr:spPr>
        <a:xfrm>
          <a:off x="104776" y="1076325"/>
          <a:ext cx="666750" cy="1362075"/>
        </a:xfrm>
        <a:prstGeom prst="curvedRightArrow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71FAE-C5FC-4AA0-A918-44067F6E8952}" name="Tabelle51315" displayName="Tabelle51315" ref="A2:G230" totalsRowShown="0" headerRowDxfId="11" dataDxfId="10" headerRowBorderDxfId="8" tableBorderDxfId="9" totalsRowBorderDxfId="7">
  <autoFilter ref="A2:G230" xr:uid="{3B4C5963-CBBF-4F55-BE84-FCBE93010135}"/>
  <tableColumns count="7">
    <tableColumn id="1" xr3:uid="{50BB4F6F-0DBE-46C9-B413-AC0393A88ABA}" name="Region" dataDxfId="6"/>
    <tableColumn id="2" xr3:uid="{B6891F0E-EBC0-4BCB-9AE1-E090B0498D7A}" name="Company" dataDxfId="5"/>
    <tableColumn id="3" xr3:uid="{058512A3-A6F2-4866-9C86-CCCC5E9B155F}" name="Division" dataDxfId="4"/>
    <tableColumn id="4" xr3:uid="{2018645D-EF3D-40B0-834E-8C920A716C3C}" name="Location" dataDxfId="3"/>
    <tableColumn id="5" xr3:uid="{2EBB9B68-EB31-4C94-9E44-253451B0AEDB}" name="Headcount" dataDxfId="2"/>
    <tableColumn id="24" xr3:uid="{193A5017-DFFA-4773-BE75-7DA1ECBB8CC0}" name="Subtype SCR" dataDxfId="1"/>
    <tableColumn id="6" xr3:uid="{30C66142-47D4-4B5E-99C9-8E670C7A3AF2}" name="Total SC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"/>
  <sheetViews>
    <sheetView tabSelected="1" topLeftCell="A2" zoomScale="70" zoomScaleNormal="70" workbookViewId="0">
      <selection activeCell="B14" sqref="B14"/>
    </sheetView>
  </sheetViews>
  <sheetFormatPr defaultColWidth="9.140625" defaultRowHeight="15" outlineLevelCol="1"/>
  <cols>
    <col min="1" max="1" width="12.140625" customWidth="1"/>
    <col min="2" max="2" width="12.85546875" customWidth="1"/>
    <col min="3" max="3" width="22.140625" customWidth="1"/>
    <col min="4" max="4" width="12.85546875" customWidth="1"/>
    <col min="5" max="5" width="16.28515625" bestFit="1" customWidth="1"/>
    <col min="6" max="8" width="12.85546875" customWidth="1"/>
    <col min="9" max="9" width="16.28515625" bestFit="1" customWidth="1"/>
    <col min="10" max="11" width="12.85546875" customWidth="1"/>
    <col min="12" max="12" width="16.28515625" bestFit="1" customWidth="1"/>
    <col min="13" max="13" width="12.85546875" customWidth="1"/>
    <col min="14" max="14" width="12.85546875" customWidth="1" outlineLevel="1"/>
    <col min="15" max="15" width="16.28515625" customWidth="1" outlineLevel="1"/>
    <col min="16" max="16" width="12.85546875" customWidth="1" outlineLevel="1"/>
    <col min="17" max="17" width="12.85546875" customWidth="1"/>
    <col min="18" max="18" width="16.28515625" bestFit="1" customWidth="1"/>
    <col min="19" max="20" width="12.85546875" customWidth="1"/>
    <col min="21" max="21" width="16.28515625" bestFit="1" customWidth="1"/>
    <col min="22" max="22" width="12.85546875" customWidth="1"/>
    <col min="23" max="23" width="12.85546875" customWidth="1" outlineLevel="1"/>
    <col min="24" max="24" width="16.28515625" customWidth="1" outlineLevel="1"/>
    <col min="25" max="25" width="12.85546875" customWidth="1" outlineLevel="1"/>
    <col min="26" max="26" width="12.85546875" customWidth="1" outlineLevel="1" collapsed="1"/>
    <col min="27" max="27" width="16.28515625" customWidth="1" outlineLevel="1"/>
    <col min="28" max="28" width="12.85546875" customWidth="1" outlineLevel="1"/>
    <col min="29" max="29" width="12.85546875" customWidth="1" outlineLevel="1" collapsed="1"/>
    <col min="30" max="30" width="16.28515625" customWidth="1" outlineLevel="1"/>
    <col min="31" max="32" width="12.85546875" customWidth="1" outlineLevel="1"/>
    <col min="33" max="33" width="16.28515625" customWidth="1" outlineLevel="1"/>
    <col min="34" max="34" width="12.85546875" customWidth="1" outlineLevel="1"/>
    <col min="35" max="35" width="46.42578125" bestFit="1" customWidth="1"/>
  </cols>
  <sheetData>
    <row r="1" spans="1:35">
      <c r="A1" s="39" t="s">
        <v>0</v>
      </c>
      <c r="Q1" t="s">
        <v>1</v>
      </c>
      <c r="AI1" t="s">
        <v>2</v>
      </c>
    </row>
    <row r="2" spans="1:35" ht="18.95">
      <c r="A2" s="38" t="s">
        <v>3</v>
      </c>
    </row>
    <row r="3" spans="1:35">
      <c r="A3" t="s">
        <v>4</v>
      </c>
    </row>
    <row r="4" spans="1:35" ht="15.95" thickBot="1"/>
    <row r="5" spans="1:35" ht="15.75" customHeight="1" thickBot="1">
      <c r="B5" s="31" t="s">
        <v>5</v>
      </c>
      <c r="D5" s="37" t="s">
        <v>6</v>
      </c>
    </row>
    <row r="6" spans="1:35" ht="15.75" customHeight="1">
      <c r="B6" s="31" t="s">
        <v>7</v>
      </c>
    </row>
    <row r="7" spans="1:35" ht="15.75" customHeight="1">
      <c r="B7" s="31" t="s">
        <v>8</v>
      </c>
    </row>
    <row r="8" spans="1:35" ht="15.75" customHeight="1">
      <c r="B8" s="31" t="s">
        <v>9</v>
      </c>
    </row>
    <row r="9" spans="1:35" ht="21">
      <c r="B9" s="31" t="s">
        <v>10</v>
      </c>
      <c r="C9" s="2"/>
    </row>
    <row r="11" spans="1:35" ht="29.1">
      <c r="A11" s="3"/>
      <c r="B11" s="26"/>
      <c r="C11" s="3"/>
      <c r="D11" s="58" t="s">
        <v>11</v>
      </c>
      <c r="E11" s="59"/>
      <c r="F11" s="59"/>
      <c r="G11" s="60"/>
      <c r="H11" s="58" t="s">
        <v>12</v>
      </c>
      <c r="I11" s="59"/>
      <c r="J11" s="59"/>
      <c r="K11" s="58" t="s">
        <v>13</v>
      </c>
      <c r="L11" s="59"/>
      <c r="M11" s="59"/>
      <c r="N11" s="58" t="s">
        <v>14</v>
      </c>
      <c r="O11" s="59"/>
      <c r="P11" s="60"/>
      <c r="Q11" s="58" t="s">
        <v>15</v>
      </c>
      <c r="R11" s="59"/>
      <c r="S11" s="60"/>
      <c r="T11" s="58" t="s">
        <v>16</v>
      </c>
      <c r="U11" s="59"/>
      <c r="V11" s="60"/>
      <c r="W11" s="58" t="s">
        <v>17</v>
      </c>
      <c r="X11" s="59"/>
      <c r="Y11" s="59"/>
      <c r="Z11" s="58" t="s">
        <v>18</v>
      </c>
      <c r="AA11" s="59"/>
      <c r="AB11" s="59"/>
      <c r="AC11" s="58" t="s">
        <v>19</v>
      </c>
      <c r="AD11" s="59"/>
      <c r="AE11" s="59"/>
      <c r="AF11" s="58" t="s">
        <v>20</v>
      </c>
      <c r="AG11" s="59"/>
      <c r="AH11" s="59"/>
      <c r="AI11" s="43" t="s">
        <v>21</v>
      </c>
    </row>
    <row r="12" spans="1:35" s="1" customFormat="1" ht="15.95" thickBot="1">
      <c r="A12" s="4" t="s">
        <v>22</v>
      </c>
      <c r="B12" s="4" t="s">
        <v>23</v>
      </c>
      <c r="C12" s="4" t="s">
        <v>24</v>
      </c>
      <c r="D12" s="5" t="s">
        <v>25</v>
      </c>
      <c r="E12" s="4" t="s">
        <v>26</v>
      </c>
      <c r="F12" s="4" t="s">
        <v>27</v>
      </c>
      <c r="G12" s="6" t="s">
        <v>28</v>
      </c>
      <c r="H12" s="5" t="s">
        <v>29</v>
      </c>
      <c r="I12" s="4" t="s">
        <v>26</v>
      </c>
      <c r="J12" s="4" t="s">
        <v>27</v>
      </c>
      <c r="K12" s="5" t="s">
        <v>29</v>
      </c>
      <c r="L12" s="4" t="s">
        <v>26</v>
      </c>
      <c r="M12" s="4" t="s">
        <v>27</v>
      </c>
      <c r="N12" s="5" t="s">
        <v>29</v>
      </c>
      <c r="O12" s="4" t="s">
        <v>26</v>
      </c>
      <c r="P12" s="6" t="s">
        <v>27</v>
      </c>
      <c r="Q12" s="5" t="s">
        <v>29</v>
      </c>
      <c r="R12" s="4" t="s">
        <v>26</v>
      </c>
      <c r="S12" s="6" t="s">
        <v>27</v>
      </c>
      <c r="T12" s="5" t="s">
        <v>29</v>
      </c>
      <c r="U12" s="4" t="s">
        <v>26</v>
      </c>
      <c r="V12" s="6" t="s">
        <v>27</v>
      </c>
      <c r="W12" s="5" t="s">
        <v>29</v>
      </c>
      <c r="X12" s="4" t="s">
        <v>26</v>
      </c>
      <c r="Y12" s="4" t="s">
        <v>27</v>
      </c>
      <c r="Z12" s="5" t="s">
        <v>29</v>
      </c>
      <c r="AA12" s="4" t="s">
        <v>26</v>
      </c>
      <c r="AB12" s="4" t="s">
        <v>27</v>
      </c>
      <c r="AC12" s="5" t="s">
        <v>29</v>
      </c>
      <c r="AD12" s="4" t="s">
        <v>26</v>
      </c>
      <c r="AE12" s="4" t="s">
        <v>27</v>
      </c>
      <c r="AF12" s="5" t="s">
        <v>29</v>
      </c>
      <c r="AG12" s="4" t="s">
        <v>26</v>
      </c>
      <c r="AH12" s="4" t="s">
        <v>27</v>
      </c>
      <c r="AI12" s="5" t="s">
        <v>30</v>
      </c>
    </row>
    <row r="13" spans="1:35">
      <c r="A13" s="9" t="str">
        <f t="shared" ref="A13:A58" si="0">$D$5</f>
        <v>RSAUS</v>
      </c>
      <c r="B13" s="34"/>
      <c r="C13" s="7"/>
      <c r="D13" s="47">
        <f>H13+K13+N13+W13+Z13+AC13+AF13+Q13+T13</f>
        <v>0</v>
      </c>
      <c r="E13" s="44">
        <f>I13+L13+O13+X13+AA13+AD13+AG13+R13+U13</f>
        <v>0</v>
      </c>
      <c r="F13" s="10">
        <f>IFERROR(G13/E13,0)</f>
        <v>0</v>
      </c>
      <c r="G13" s="27">
        <f>(I13*J13)+(L13*M13)+(O13*P13)+(R13*S13)+(U13*V13)+(X13*Y13)+(AA13*AB13)+(AD13*AE13)+(AG13*AH13)</f>
        <v>0</v>
      </c>
      <c r="H13" s="18"/>
      <c r="I13" s="40"/>
      <c r="J13" s="19"/>
      <c r="K13" s="18"/>
      <c r="L13" s="40"/>
      <c r="M13" s="19"/>
      <c r="N13" s="18"/>
      <c r="O13" s="40"/>
      <c r="P13" s="19"/>
      <c r="Q13" s="28"/>
      <c r="R13" s="40"/>
      <c r="S13" s="19"/>
      <c r="T13" s="28"/>
      <c r="U13" s="40"/>
      <c r="V13" s="19"/>
      <c r="W13" s="18"/>
      <c r="X13" s="40"/>
      <c r="Y13" s="19"/>
      <c r="Z13" s="18"/>
      <c r="AA13" s="40"/>
      <c r="AB13" s="19"/>
      <c r="AC13" s="18"/>
      <c r="AD13" s="40"/>
      <c r="AE13" s="19"/>
      <c r="AF13" s="18"/>
      <c r="AG13" s="40"/>
      <c r="AH13" s="19"/>
      <c r="AI13" s="23"/>
    </row>
    <row r="14" spans="1:35">
      <c r="A14" s="33" t="str">
        <f t="shared" si="0"/>
        <v>RSAUS</v>
      </c>
      <c r="B14" s="35" t="s">
        <v>31</v>
      </c>
      <c r="C14" s="32"/>
      <c r="D14" s="11">
        <f t="shared" ref="D14:D58" si="1">H14+K14+N14+W14+Z14+AC14+AF14+Q14+T14</f>
        <v>0</v>
      </c>
      <c r="E14" s="45">
        <f t="shared" ref="E14:E58" si="2">I14+L14+O14+X14+AA14+AD14+AG14+R14+U14</f>
        <v>0</v>
      </c>
      <c r="F14" s="12">
        <f t="shared" ref="F14:F58" si="3">IFERROR(G14/E14,0)</f>
        <v>0</v>
      </c>
      <c r="G14" s="13">
        <f t="shared" ref="G14:G58" si="4">(I14*J14)+(L14*M14)+(O14*P14)+(R14*S14)+(U14*V14)+(X14*Y14)+(AA14*AB14)+(AD14*AE14)+(AG14*AH14)</f>
        <v>0</v>
      </c>
      <c r="H14" s="20"/>
      <c r="I14" s="41"/>
      <c r="J14" s="21"/>
      <c r="K14" s="20"/>
      <c r="L14" s="41"/>
      <c r="M14" s="21"/>
      <c r="N14" s="20"/>
      <c r="O14" s="41"/>
      <c r="P14" s="21"/>
      <c r="Q14" s="29"/>
      <c r="R14" s="41"/>
      <c r="S14" s="21"/>
      <c r="T14" s="29"/>
      <c r="U14" s="41"/>
      <c r="V14" s="21"/>
      <c r="W14" s="20"/>
      <c r="X14" s="41"/>
      <c r="Y14" s="21"/>
      <c r="Z14" s="20"/>
      <c r="AA14" s="41"/>
      <c r="AB14" s="21"/>
      <c r="AC14" s="20"/>
      <c r="AD14" s="41"/>
      <c r="AE14" s="21"/>
      <c r="AF14" s="20"/>
      <c r="AG14" s="41"/>
      <c r="AH14" s="21"/>
      <c r="AI14" s="24"/>
    </row>
    <row r="15" spans="1:35">
      <c r="A15" s="33" t="str">
        <f t="shared" si="0"/>
        <v>RSAUS</v>
      </c>
      <c r="B15" s="35"/>
      <c r="C15" s="32"/>
      <c r="D15" s="11">
        <f t="shared" si="1"/>
        <v>0</v>
      </c>
      <c r="E15" s="45">
        <f t="shared" si="2"/>
        <v>0</v>
      </c>
      <c r="F15" s="12">
        <f t="shared" si="3"/>
        <v>0</v>
      </c>
      <c r="G15" s="13">
        <f>(I15*J15)+(L15*M15)+(O15*P15)+(R15*S15)+(U15*V15)+(X15*Y15)+(AA15*AB15)+(AD15*AE15)+(AG15*AH15)</f>
        <v>0</v>
      </c>
      <c r="H15" s="20"/>
      <c r="I15" s="41"/>
      <c r="J15" s="21"/>
      <c r="K15" s="20"/>
      <c r="L15" s="41"/>
      <c r="M15" s="21"/>
      <c r="N15" s="20"/>
      <c r="O15" s="41"/>
      <c r="P15" s="21"/>
      <c r="Q15" s="29"/>
      <c r="R15" s="41"/>
      <c r="S15" s="21"/>
      <c r="T15" s="29"/>
      <c r="U15" s="41"/>
      <c r="V15" s="21"/>
      <c r="W15" s="20"/>
      <c r="X15" s="41"/>
      <c r="Y15" s="21"/>
      <c r="Z15" s="20"/>
      <c r="AA15" s="41"/>
      <c r="AB15" s="21"/>
      <c r="AC15" s="20"/>
      <c r="AD15" s="41"/>
      <c r="AE15" s="21"/>
      <c r="AF15" s="20"/>
      <c r="AG15" s="41"/>
      <c r="AH15" s="21"/>
      <c r="AI15" s="24"/>
    </row>
    <row r="16" spans="1:35">
      <c r="A16" s="33" t="str">
        <f t="shared" si="0"/>
        <v>RSAUS</v>
      </c>
      <c r="B16" s="35"/>
      <c r="C16" s="32"/>
      <c r="D16" s="11">
        <f t="shared" si="1"/>
        <v>0</v>
      </c>
      <c r="E16" s="45">
        <f t="shared" si="2"/>
        <v>0</v>
      </c>
      <c r="F16" s="12">
        <f t="shared" si="3"/>
        <v>0</v>
      </c>
      <c r="G16" s="13">
        <f t="shared" si="4"/>
        <v>0</v>
      </c>
      <c r="H16" s="20"/>
      <c r="I16" s="41"/>
      <c r="J16" s="21"/>
      <c r="K16" s="20"/>
      <c r="L16" s="41"/>
      <c r="M16" s="21"/>
      <c r="N16" s="20"/>
      <c r="O16" s="41"/>
      <c r="P16" s="21"/>
      <c r="Q16" s="29"/>
      <c r="R16" s="41"/>
      <c r="S16" s="21"/>
      <c r="T16" s="29"/>
      <c r="U16" s="41"/>
      <c r="V16" s="21"/>
      <c r="W16" s="20"/>
      <c r="X16" s="41"/>
      <c r="Y16" s="21"/>
      <c r="Z16" s="20"/>
      <c r="AA16" s="41"/>
      <c r="AB16" s="21"/>
      <c r="AC16" s="20"/>
      <c r="AD16" s="41"/>
      <c r="AE16" s="21"/>
      <c r="AF16" s="20"/>
      <c r="AG16" s="41"/>
      <c r="AH16" s="21"/>
      <c r="AI16" s="24"/>
    </row>
    <row r="17" spans="1:35">
      <c r="A17" s="33" t="str">
        <f t="shared" si="0"/>
        <v>RSAUS</v>
      </c>
      <c r="B17" s="35"/>
      <c r="C17" s="32"/>
      <c r="D17" s="11">
        <f t="shared" si="1"/>
        <v>0</v>
      </c>
      <c r="E17" s="45">
        <f t="shared" si="2"/>
        <v>0</v>
      </c>
      <c r="F17" s="12">
        <f t="shared" si="3"/>
        <v>0</v>
      </c>
      <c r="G17" s="13">
        <f t="shared" si="4"/>
        <v>0</v>
      </c>
      <c r="H17" s="20"/>
      <c r="I17" s="41"/>
      <c r="J17" s="21"/>
      <c r="K17" s="20"/>
      <c r="L17" s="41"/>
      <c r="M17" s="21"/>
      <c r="N17" s="20"/>
      <c r="O17" s="41"/>
      <c r="P17" s="21"/>
      <c r="Q17" s="29"/>
      <c r="R17" s="41"/>
      <c r="S17" s="21"/>
      <c r="T17" s="29"/>
      <c r="U17" s="41"/>
      <c r="V17" s="21"/>
      <c r="W17" s="20"/>
      <c r="X17" s="41"/>
      <c r="Y17" s="21"/>
      <c r="Z17" s="20"/>
      <c r="AA17" s="41"/>
      <c r="AB17" s="21"/>
      <c r="AC17" s="20"/>
      <c r="AD17" s="41"/>
      <c r="AE17" s="21"/>
      <c r="AF17" s="20"/>
      <c r="AG17" s="41"/>
      <c r="AH17" s="21"/>
      <c r="AI17" s="24"/>
    </row>
    <row r="18" spans="1:35">
      <c r="A18" s="33" t="str">
        <f t="shared" si="0"/>
        <v>RSAUS</v>
      </c>
      <c r="B18" s="35"/>
      <c r="C18" s="32"/>
      <c r="D18" s="11">
        <f t="shared" si="1"/>
        <v>0</v>
      </c>
      <c r="E18" s="45">
        <f t="shared" si="2"/>
        <v>0</v>
      </c>
      <c r="F18" s="12">
        <f t="shared" si="3"/>
        <v>0</v>
      </c>
      <c r="G18" s="13">
        <f t="shared" si="4"/>
        <v>0</v>
      </c>
      <c r="H18" s="20"/>
      <c r="I18" s="41"/>
      <c r="J18" s="21"/>
      <c r="K18" s="20"/>
      <c r="L18" s="41"/>
      <c r="M18" s="21"/>
      <c r="N18" s="20"/>
      <c r="O18" s="41"/>
      <c r="P18" s="21"/>
      <c r="Q18" s="29"/>
      <c r="R18" s="41"/>
      <c r="S18" s="21"/>
      <c r="T18" s="29"/>
      <c r="U18" s="41"/>
      <c r="V18" s="21"/>
      <c r="W18" s="20"/>
      <c r="X18" s="41"/>
      <c r="Y18" s="21"/>
      <c r="Z18" s="20"/>
      <c r="AA18" s="41"/>
      <c r="AB18" s="21"/>
      <c r="AC18" s="20"/>
      <c r="AD18" s="41"/>
      <c r="AE18" s="21"/>
      <c r="AF18" s="20"/>
      <c r="AG18" s="41"/>
      <c r="AH18" s="21"/>
      <c r="AI18" s="24"/>
    </row>
    <row r="19" spans="1:35">
      <c r="A19" s="33" t="str">
        <f t="shared" si="0"/>
        <v>RSAUS</v>
      </c>
      <c r="B19" s="35"/>
      <c r="C19" s="32"/>
      <c r="D19" s="11">
        <f t="shared" si="1"/>
        <v>0</v>
      </c>
      <c r="E19" s="45">
        <f t="shared" si="2"/>
        <v>0</v>
      </c>
      <c r="F19" s="12">
        <f t="shared" si="3"/>
        <v>0</v>
      </c>
      <c r="G19" s="13">
        <f t="shared" si="4"/>
        <v>0</v>
      </c>
      <c r="H19" s="20"/>
      <c r="I19" s="41"/>
      <c r="J19" s="21"/>
      <c r="K19" s="20"/>
      <c r="L19" s="41"/>
      <c r="M19" s="21"/>
      <c r="N19" s="20"/>
      <c r="O19" s="41"/>
      <c r="P19" s="21"/>
      <c r="Q19" s="29"/>
      <c r="R19" s="41"/>
      <c r="S19" s="21"/>
      <c r="T19" s="29"/>
      <c r="U19" s="41"/>
      <c r="V19" s="21"/>
      <c r="W19" s="20"/>
      <c r="X19" s="41"/>
      <c r="Y19" s="21"/>
      <c r="Z19" s="20"/>
      <c r="AA19" s="41"/>
      <c r="AB19" s="21"/>
      <c r="AC19" s="20"/>
      <c r="AD19" s="41"/>
      <c r="AE19" s="21"/>
      <c r="AF19" s="20"/>
      <c r="AG19" s="41"/>
      <c r="AH19" s="21"/>
      <c r="AI19" s="24"/>
    </row>
    <row r="20" spans="1:35">
      <c r="A20" s="33" t="str">
        <f t="shared" si="0"/>
        <v>RSAUS</v>
      </c>
      <c r="B20" s="35"/>
      <c r="C20" s="32"/>
      <c r="D20" s="11">
        <f t="shared" si="1"/>
        <v>0</v>
      </c>
      <c r="E20" s="45">
        <f t="shared" si="2"/>
        <v>0</v>
      </c>
      <c r="F20" s="12">
        <f t="shared" si="3"/>
        <v>0</v>
      </c>
      <c r="G20" s="13">
        <f t="shared" si="4"/>
        <v>0</v>
      </c>
      <c r="H20" s="20"/>
      <c r="I20" s="41"/>
      <c r="J20" s="21"/>
      <c r="K20" s="20"/>
      <c r="L20" s="41"/>
      <c r="M20" s="21"/>
      <c r="N20" s="20"/>
      <c r="O20" s="41"/>
      <c r="P20" s="21"/>
      <c r="Q20" s="29"/>
      <c r="R20" s="41"/>
      <c r="S20" s="21"/>
      <c r="T20" s="29"/>
      <c r="U20" s="41"/>
      <c r="V20" s="21"/>
      <c r="W20" s="20"/>
      <c r="X20" s="41"/>
      <c r="Y20" s="21"/>
      <c r="Z20" s="20"/>
      <c r="AA20" s="41"/>
      <c r="AB20" s="21"/>
      <c r="AC20" s="20"/>
      <c r="AD20" s="41"/>
      <c r="AE20" s="21"/>
      <c r="AF20" s="20"/>
      <c r="AG20" s="41"/>
      <c r="AH20" s="21"/>
      <c r="AI20" s="24"/>
    </row>
    <row r="21" spans="1:35">
      <c r="A21" s="33" t="str">
        <f t="shared" si="0"/>
        <v>RSAUS</v>
      </c>
      <c r="B21" s="35"/>
      <c r="C21" s="32"/>
      <c r="D21" s="11">
        <f t="shared" si="1"/>
        <v>0</v>
      </c>
      <c r="E21" s="45">
        <f t="shared" si="2"/>
        <v>0</v>
      </c>
      <c r="F21" s="12">
        <f t="shared" si="3"/>
        <v>0</v>
      </c>
      <c r="G21" s="13">
        <f t="shared" si="4"/>
        <v>0</v>
      </c>
      <c r="H21" s="20"/>
      <c r="I21" s="41"/>
      <c r="J21" s="21"/>
      <c r="K21" s="20"/>
      <c r="L21" s="41"/>
      <c r="M21" s="21"/>
      <c r="N21" s="20"/>
      <c r="O21" s="41"/>
      <c r="P21" s="21"/>
      <c r="Q21" s="29"/>
      <c r="R21" s="41"/>
      <c r="S21" s="21"/>
      <c r="T21" s="29"/>
      <c r="U21" s="41"/>
      <c r="V21" s="21"/>
      <c r="W21" s="20"/>
      <c r="X21" s="41"/>
      <c r="Y21" s="21"/>
      <c r="Z21" s="20"/>
      <c r="AA21" s="41"/>
      <c r="AB21" s="21"/>
      <c r="AC21" s="20"/>
      <c r="AD21" s="41"/>
      <c r="AE21" s="21"/>
      <c r="AF21" s="20"/>
      <c r="AG21" s="41"/>
      <c r="AH21" s="21"/>
      <c r="AI21" s="24"/>
    </row>
    <row r="22" spans="1:35">
      <c r="A22" s="33" t="str">
        <f t="shared" si="0"/>
        <v>RSAUS</v>
      </c>
      <c r="B22" s="35"/>
      <c r="C22" s="32"/>
      <c r="D22" s="11">
        <f t="shared" si="1"/>
        <v>0</v>
      </c>
      <c r="E22" s="45">
        <f t="shared" si="2"/>
        <v>0</v>
      </c>
      <c r="F22" s="12">
        <f t="shared" si="3"/>
        <v>0</v>
      </c>
      <c r="G22" s="13">
        <f t="shared" si="4"/>
        <v>0</v>
      </c>
      <c r="H22" s="20"/>
      <c r="I22" s="41"/>
      <c r="J22" s="21"/>
      <c r="K22" s="20"/>
      <c r="L22" s="41"/>
      <c r="M22" s="21"/>
      <c r="N22" s="20"/>
      <c r="O22" s="41"/>
      <c r="P22" s="21"/>
      <c r="Q22" s="29"/>
      <c r="R22" s="41"/>
      <c r="S22" s="21"/>
      <c r="T22" s="29"/>
      <c r="U22" s="41"/>
      <c r="V22" s="21"/>
      <c r="W22" s="20"/>
      <c r="X22" s="41"/>
      <c r="Y22" s="21"/>
      <c r="Z22" s="20"/>
      <c r="AA22" s="41"/>
      <c r="AB22" s="21"/>
      <c r="AC22" s="20"/>
      <c r="AD22" s="41"/>
      <c r="AE22" s="21"/>
      <c r="AF22" s="20"/>
      <c r="AG22" s="41"/>
      <c r="AH22" s="21"/>
      <c r="AI22" s="24"/>
    </row>
    <row r="23" spans="1:35">
      <c r="A23" s="33" t="str">
        <f t="shared" si="0"/>
        <v>RSAUS</v>
      </c>
      <c r="B23" s="35"/>
      <c r="C23" s="32"/>
      <c r="D23" s="11">
        <f t="shared" si="1"/>
        <v>0</v>
      </c>
      <c r="E23" s="45">
        <f t="shared" si="2"/>
        <v>0</v>
      </c>
      <c r="F23" s="12">
        <f t="shared" si="3"/>
        <v>0</v>
      </c>
      <c r="G23" s="13">
        <f t="shared" si="4"/>
        <v>0</v>
      </c>
      <c r="H23" s="20"/>
      <c r="I23" s="41"/>
      <c r="J23" s="21"/>
      <c r="K23" s="20"/>
      <c r="L23" s="41"/>
      <c r="M23" s="21"/>
      <c r="N23" s="20"/>
      <c r="O23" s="41"/>
      <c r="P23" s="21"/>
      <c r="Q23" s="29"/>
      <c r="R23" s="41"/>
      <c r="S23" s="21"/>
      <c r="T23" s="29"/>
      <c r="U23" s="41"/>
      <c r="V23" s="21"/>
      <c r="W23" s="20"/>
      <c r="X23" s="41"/>
      <c r="Y23" s="21"/>
      <c r="Z23" s="20"/>
      <c r="AA23" s="41"/>
      <c r="AB23" s="21"/>
      <c r="AC23" s="20"/>
      <c r="AD23" s="41"/>
      <c r="AE23" s="21"/>
      <c r="AF23" s="20"/>
      <c r="AG23" s="41"/>
      <c r="AH23" s="21"/>
      <c r="AI23" s="24"/>
    </row>
    <row r="24" spans="1:35">
      <c r="A24" s="33" t="str">
        <f t="shared" si="0"/>
        <v>RSAUS</v>
      </c>
      <c r="B24" s="35"/>
      <c r="C24" s="32"/>
      <c r="D24" s="11">
        <f t="shared" si="1"/>
        <v>0</v>
      </c>
      <c r="E24" s="45">
        <f t="shared" si="2"/>
        <v>0</v>
      </c>
      <c r="F24" s="12">
        <f t="shared" si="3"/>
        <v>0</v>
      </c>
      <c r="G24" s="13">
        <f t="shared" si="4"/>
        <v>0</v>
      </c>
      <c r="H24" s="20"/>
      <c r="I24" s="41"/>
      <c r="J24" s="21"/>
      <c r="K24" s="20"/>
      <c r="L24" s="41"/>
      <c r="M24" s="21"/>
      <c r="N24" s="20"/>
      <c r="O24" s="41"/>
      <c r="P24" s="21"/>
      <c r="Q24" s="29"/>
      <c r="R24" s="41"/>
      <c r="S24" s="21"/>
      <c r="T24" s="29"/>
      <c r="U24" s="41"/>
      <c r="V24" s="21"/>
      <c r="W24" s="20"/>
      <c r="X24" s="41"/>
      <c r="Y24" s="21"/>
      <c r="Z24" s="20"/>
      <c r="AA24" s="41"/>
      <c r="AB24" s="21"/>
      <c r="AC24" s="20"/>
      <c r="AD24" s="41"/>
      <c r="AE24" s="21"/>
      <c r="AF24" s="20"/>
      <c r="AG24" s="41"/>
      <c r="AH24" s="21"/>
      <c r="AI24" s="24"/>
    </row>
    <row r="25" spans="1:35">
      <c r="A25" s="33" t="str">
        <f t="shared" si="0"/>
        <v>RSAUS</v>
      </c>
      <c r="B25" s="35"/>
      <c r="C25" s="32"/>
      <c r="D25" s="11">
        <f t="shared" si="1"/>
        <v>0</v>
      </c>
      <c r="E25" s="45">
        <f t="shared" si="2"/>
        <v>0</v>
      </c>
      <c r="F25" s="12">
        <f t="shared" si="3"/>
        <v>0</v>
      </c>
      <c r="G25" s="13">
        <f t="shared" si="4"/>
        <v>0</v>
      </c>
      <c r="H25" s="20"/>
      <c r="I25" s="41"/>
      <c r="J25" s="21"/>
      <c r="K25" s="20"/>
      <c r="L25" s="41"/>
      <c r="M25" s="21"/>
      <c r="N25" s="20"/>
      <c r="O25" s="41"/>
      <c r="P25" s="21"/>
      <c r="Q25" s="29"/>
      <c r="R25" s="41"/>
      <c r="S25" s="21"/>
      <c r="T25" s="29"/>
      <c r="U25" s="41"/>
      <c r="V25" s="21"/>
      <c r="W25" s="20"/>
      <c r="X25" s="41"/>
      <c r="Y25" s="21"/>
      <c r="Z25" s="20"/>
      <c r="AA25" s="41"/>
      <c r="AB25" s="21"/>
      <c r="AC25" s="20"/>
      <c r="AD25" s="41"/>
      <c r="AE25" s="21"/>
      <c r="AF25" s="20"/>
      <c r="AG25" s="41"/>
      <c r="AH25" s="21"/>
      <c r="AI25" s="24"/>
    </row>
    <row r="26" spans="1:35">
      <c r="A26" s="33" t="str">
        <f t="shared" si="0"/>
        <v>RSAUS</v>
      </c>
      <c r="B26" s="35"/>
      <c r="C26" s="32"/>
      <c r="D26" s="11">
        <f t="shared" si="1"/>
        <v>0</v>
      </c>
      <c r="E26" s="45">
        <f t="shared" si="2"/>
        <v>0</v>
      </c>
      <c r="F26" s="12">
        <f t="shared" si="3"/>
        <v>0</v>
      </c>
      <c r="G26" s="13">
        <f t="shared" si="4"/>
        <v>0</v>
      </c>
      <c r="H26" s="20"/>
      <c r="I26" s="41"/>
      <c r="J26" s="21"/>
      <c r="K26" s="20"/>
      <c r="L26" s="41"/>
      <c r="M26" s="21"/>
      <c r="N26" s="20"/>
      <c r="O26" s="41"/>
      <c r="P26" s="21"/>
      <c r="Q26" s="29"/>
      <c r="R26" s="41"/>
      <c r="S26" s="21"/>
      <c r="T26" s="29"/>
      <c r="U26" s="41"/>
      <c r="V26" s="21"/>
      <c r="W26" s="20"/>
      <c r="X26" s="41"/>
      <c r="Y26" s="21"/>
      <c r="Z26" s="20"/>
      <c r="AA26" s="41"/>
      <c r="AB26" s="21"/>
      <c r="AC26" s="20"/>
      <c r="AD26" s="41"/>
      <c r="AE26" s="21"/>
      <c r="AF26" s="20"/>
      <c r="AG26" s="41"/>
      <c r="AH26" s="21"/>
      <c r="AI26" s="24"/>
    </row>
    <row r="27" spans="1:35">
      <c r="A27" s="33" t="str">
        <f t="shared" si="0"/>
        <v>RSAUS</v>
      </c>
      <c r="B27" s="35"/>
      <c r="C27" s="32"/>
      <c r="D27" s="11">
        <f t="shared" si="1"/>
        <v>0</v>
      </c>
      <c r="E27" s="45">
        <f t="shared" si="2"/>
        <v>0</v>
      </c>
      <c r="F27" s="12">
        <f t="shared" si="3"/>
        <v>0</v>
      </c>
      <c r="G27" s="13">
        <f t="shared" si="4"/>
        <v>0</v>
      </c>
      <c r="H27" s="20"/>
      <c r="I27" s="41"/>
      <c r="J27" s="21"/>
      <c r="K27" s="20"/>
      <c r="L27" s="41"/>
      <c r="M27" s="21"/>
      <c r="N27" s="20"/>
      <c r="O27" s="41"/>
      <c r="P27" s="21"/>
      <c r="Q27" s="29"/>
      <c r="R27" s="41"/>
      <c r="S27" s="21"/>
      <c r="T27" s="29"/>
      <c r="U27" s="41"/>
      <c r="V27" s="21"/>
      <c r="W27" s="20"/>
      <c r="X27" s="41"/>
      <c r="Y27" s="21"/>
      <c r="Z27" s="20"/>
      <c r="AA27" s="41"/>
      <c r="AB27" s="21"/>
      <c r="AC27" s="20"/>
      <c r="AD27" s="41"/>
      <c r="AE27" s="21"/>
      <c r="AF27" s="20"/>
      <c r="AG27" s="41"/>
      <c r="AH27" s="21"/>
      <c r="AI27" s="24"/>
    </row>
    <row r="28" spans="1:35">
      <c r="A28" s="33" t="str">
        <f t="shared" si="0"/>
        <v>RSAUS</v>
      </c>
      <c r="B28" s="35"/>
      <c r="C28" s="32"/>
      <c r="D28" s="11">
        <f t="shared" si="1"/>
        <v>0</v>
      </c>
      <c r="E28" s="45">
        <f t="shared" si="2"/>
        <v>0</v>
      </c>
      <c r="F28" s="12">
        <f t="shared" si="3"/>
        <v>0</v>
      </c>
      <c r="G28" s="13">
        <f t="shared" si="4"/>
        <v>0</v>
      </c>
      <c r="H28" s="20"/>
      <c r="I28" s="41"/>
      <c r="J28" s="21"/>
      <c r="K28" s="20"/>
      <c r="L28" s="41"/>
      <c r="M28" s="21"/>
      <c r="N28" s="20"/>
      <c r="O28" s="41"/>
      <c r="P28" s="21"/>
      <c r="Q28" s="29"/>
      <c r="R28" s="41"/>
      <c r="S28" s="21"/>
      <c r="T28" s="29"/>
      <c r="U28" s="41"/>
      <c r="V28" s="21"/>
      <c r="W28" s="20"/>
      <c r="X28" s="41"/>
      <c r="Y28" s="21"/>
      <c r="Z28" s="20"/>
      <c r="AA28" s="41"/>
      <c r="AB28" s="21"/>
      <c r="AC28" s="20"/>
      <c r="AD28" s="41"/>
      <c r="AE28" s="21"/>
      <c r="AF28" s="20"/>
      <c r="AG28" s="41"/>
      <c r="AH28" s="21"/>
      <c r="AI28" s="24"/>
    </row>
    <row r="29" spans="1:35">
      <c r="A29" s="33" t="str">
        <f t="shared" si="0"/>
        <v>RSAUS</v>
      </c>
      <c r="B29" s="35"/>
      <c r="C29" s="32"/>
      <c r="D29" s="11">
        <f t="shared" si="1"/>
        <v>0</v>
      </c>
      <c r="E29" s="45">
        <f t="shared" si="2"/>
        <v>0</v>
      </c>
      <c r="F29" s="12">
        <f t="shared" si="3"/>
        <v>0</v>
      </c>
      <c r="G29" s="13">
        <f t="shared" si="4"/>
        <v>0</v>
      </c>
      <c r="H29" s="20"/>
      <c r="I29" s="41"/>
      <c r="J29" s="21"/>
      <c r="K29" s="20"/>
      <c r="L29" s="41"/>
      <c r="M29" s="21"/>
      <c r="N29" s="20"/>
      <c r="O29" s="41"/>
      <c r="P29" s="21"/>
      <c r="Q29" s="29"/>
      <c r="R29" s="41"/>
      <c r="S29" s="21"/>
      <c r="T29" s="29"/>
      <c r="U29" s="41"/>
      <c r="V29" s="21"/>
      <c r="W29" s="20"/>
      <c r="X29" s="41"/>
      <c r="Y29" s="21"/>
      <c r="Z29" s="20"/>
      <c r="AA29" s="41"/>
      <c r="AB29" s="21"/>
      <c r="AC29" s="20"/>
      <c r="AD29" s="41"/>
      <c r="AE29" s="21"/>
      <c r="AF29" s="20"/>
      <c r="AG29" s="41"/>
      <c r="AH29" s="21"/>
      <c r="AI29" s="24"/>
    </row>
    <row r="30" spans="1:35">
      <c r="A30" s="33" t="str">
        <f t="shared" si="0"/>
        <v>RSAUS</v>
      </c>
      <c r="B30" s="35"/>
      <c r="C30" s="32"/>
      <c r="D30" s="11">
        <f t="shared" si="1"/>
        <v>0</v>
      </c>
      <c r="E30" s="45">
        <f t="shared" si="2"/>
        <v>0</v>
      </c>
      <c r="F30" s="12">
        <f t="shared" si="3"/>
        <v>0</v>
      </c>
      <c r="G30" s="13">
        <f t="shared" si="4"/>
        <v>0</v>
      </c>
      <c r="H30" s="20"/>
      <c r="I30" s="41"/>
      <c r="J30" s="21"/>
      <c r="K30" s="20"/>
      <c r="L30" s="41"/>
      <c r="M30" s="21"/>
      <c r="N30" s="20"/>
      <c r="O30" s="41"/>
      <c r="P30" s="21"/>
      <c r="Q30" s="29"/>
      <c r="R30" s="41"/>
      <c r="S30" s="21"/>
      <c r="T30" s="29"/>
      <c r="U30" s="41"/>
      <c r="V30" s="21"/>
      <c r="W30" s="20"/>
      <c r="X30" s="41"/>
      <c r="Y30" s="21"/>
      <c r="Z30" s="20"/>
      <c r="AA30" s="41"/>
      <c r="AB30" s="21"/>
      <c r="AC30" s="20"/>
      <c r="AD30" s="41"/>
      <c r="AE30" s="21"/>
      <c r="AF30" s="20"/>
      <c r="AG30" s="41"/>
      <c r="AH30" s="21"/>
      <c r="AI30" s="24"/>
    </row>
    <row r="31" spans="1:35">
      <c r="A31" s="33" t="str">
        <f t="shared" si="0"/>
        <v>RSAUS</v>
      </c>
      <c r="B31" s="35"/>
      <c r="C31" s="32"/>
      <c r="D31" s="11">
        <f t="shared" si="1"/>
        <v>0</v>
      </c>
      <c r="E31" s="45">
        <f t="shared" si="2"/>
        <v>0</v>
      </c>
      <c r="F31" s="12">
        <f t="shared" si="3"/>
        <v>0</v>
      </c>
      <c r="G31" s="13">
        <f t="shared" si="4"/>
        <v>0</v>
      </c>
      <c r="H31" s="20"/>
      <c r="I31" s="41"/>
      <c r="J31" s="21"/>
      <c r="K31" s="20"/>
      <c r="L31" s="41"/>
      <c r="M31" s="21"/>
      <c r="N31" s="20"/>
      <c r="O31" s="41"/>
      <c r="P31" s="21"/>
      <c r="Q31" s="29"/>
      <c r="R31" s="41"/>
      <c r="S31" s="21"/>
      <c r="T31" s="29"/>
      <c r="U31" s="41"/>
      <c r="V31" s="21"/>
      <c r="W31" s="20"/>
      <c r="X31" s="41"/>
      <c r="Y31" s="21"/>
      <c r="Z31" s="20"/>
      <c r="AA31" s="41"/>
      <c r="AB31" s="21"/>
      <c r="AC31" s="20"/>
      <c r="AD31" s="41"/>
      <c r="AE31" s="21"/>
      <c r="AF31" s="20"/>
      <c r="AG31" s="41"/>
      <c r="AH31" s="21"/>
      <c r="AI31" s="24"/>
    </row>
    <row r="32" spans="1:35">
      <c r="A32" s="33" t="str">
        <f t="shared" si="0"/>
        <v>RSAUS</v>
      </c>
      <c r="B32" s="35"/>
      <c r="C32" s="32"/>
      <c r="D32" s="11">
        <f t="shared" si="1"/>
        <v>0</v>
      </c>
      <c r="E32" s="45">
        <f t="shared" si="2"/>
        <v>0</v>
      </c>
      <c r="F32" s="12">
        <f t="shared" si="3"/>
        <v>0</v>
      </c>
      <c r="G32" s="13">
        <f t="shared" si="4"/>
        <v>0</v>
      </c>
      <c r="H32" s="20"/>
      <c r="I32" s="41"/>
      <c r="J32" s="21"/>
      <c r="K32" s="20"/>
      <c r="L32" s="41"/>
      <c r="M32" s="21"/>
      <c r="N32" s="20"/>
      <c r="O32" s="41"/>
      <c r="P32" s="21"/>
      <c r="Q32" s="29"/>
      <c r="R32" s="41"/>
      <c r="S32" s="21"/>
      <c r="T32" s="29"/>
      <c r="U32" s="41"/>
      <c r="V32" s="21"/>
      <c r="W32" s="20"/>
      <c r="X32" s="41"/>
      <c r="Y32" s="21"/>
      <c r="Z32" s="20"/>
      <c r="AA32" s="41"/>
      <c r="AB32" s="21"/>
      <c r="AC32" s="20"/>
      <c r="AD32" s="41"/>
      <c r="AE32" s="21"/>
      <c r="AF32" s="20"/>
      <c r="AG32" s="41"/>
      <c r="AH32" s="21"/>
      <c r="AI32" s="24"/>
    </row>
    <row r="33" spans="1:35">
      <c r="A33" s="33" t="str">
        <f t="shared" si="0"/>
        <v>RSAUS</v>
      </c>
      <c r="B33" s="35"/>
      <c r="C33" s="32"/>
      <c r="D33" s="11">
        <f t="shared" si="1"/>
        <v>0</v>
      </c>
      <c r="E33" s="45">
        <f t="shared" si="2"/>
        <v>0</v>
      </c>
      <c r="F33" s="12">
        <f t="shared" si="3"/>
        <v>0</v>
      </c>
      <c r="G33" s="13">
        <f t="shared" si="4"/>
        <v>0</v>
      </c>
      <c r="H33" s="20"/>
      <c r="I33" s="41"/>
      <c r="J33" s="21"/>
      <c r="K33" s="20"/>
      <c r="L33" s="41"/>
      <c r="M33" s="21"/>
      <c r="N33" s="20"/>
      <c r="O33" s="41"/>
      <c r="P33" s="21"/>
      <c r="Q33" s="29"/>
      <c r="R33" s="41"/>
      <c r="S33" s="21"/>
      <c r="T33" s="29"/>
      <c r="U33" s="41"/>
      <c r="V33" s="21"/>
      <c r="W33" s="20"/>
      <c r="X33" s="41"/>
      <c r="Y33" s="21"/>
      <c r="Z33" s="20"/>
      <c r="AA33" s="41"/>
      <c r="AB33" s="21"/>
      <c r="AC33" s="20"/>
      <c r="AD33" s="41"/>
      <c r="AE33" s="21"/>
      <c r="AF33" s="20"/>
      <c r="AG33" s="41"/>
      <c r="AH33" s="21"/>
      <c r="AI33" s="24"/>
    </row>
    <row r="34" spans="1:35">
      <c r="A34" s="33" t="str">
        <f t="shared" si="0"/>
        <v>RSAUS</v>
      </c>
      <c r="B34" s="35"/>
      <c r="C34" s="32"/>
      <c r="D34" s="11">
        <f t="shared" si="1"/>
        <v>0</v>
      </c>
      <c r="E34" s="45">
        <f t="shared" si="2"/>
        <v>0</v>
      </c>
      <c r="F34" s="12">
        <f t="shared" si="3"/>
        <v>0</v>
      </c>
      <c r="G34" s="13">
        <f t="shared" si="4"/>
        <v>0</v>
      </c>
      <c r="H34" s="20"/>
      <c r="I34" s="41"/>
      <c r="J34" s="21"/>
      <c r="K34" s="20"/>
      <c r="L34" s="41"/>
      <c r="M34" s="21"/>
      <c r="N34" s="20"/>
      <c r="O34" s="41"/>
      <c r="P34" s="21"/>
      <c r="Q34" s="29"/>
      <c r="R34" s="41"/>
      <c r="S34" s="21"/>
      <c r="T34" s="29"/>
      <c r="U34" s="41"/>
      <c r="V34" s="21"/>
      <c r="W34" s="20"/>
      <c r="X34" s="41"/>
      <c r="Y34" s="21"/>
      <c r="Z34" s="20"/>
      <c r="AA34" s="41"/>
      <c r="AB34" s="21"/>
      <c r="AC34" s="20"/>
      <c r="AD34" s="41"/>
      <c r="AE34" s="21"/>
      <c r="AF34" s="20"/>
      <c r="AG34" s="41"/>
      <c r="AH34" s="21"/>
      <c r="AI34" s="24"/>
    </row>
    <row r="35" spans="1:35">
      <c r="A35" s="33" t="str">
        <f t="shared" si="0"/>
        <v>RSAUS</v>
      </c>
      <c r="B35" s="35"/>
      <c r="C35" s="32"/>
      <c r="D35" s="11">
        <f t="shared" si="1"/>
        <v>0</v>
      </c>
      <c r="E35" s="45">
        <f t="shared" si="2"/>
        <v>0</v>
      </c>
      <c r="F35" s="12">
        <f t="shared" si="3"/>
        <v>0</v>
      </c>
      <c r="G35" s="13">
        <f t="shared" si="4"/>
        <v>0</v>
      </c>
      <c r="H35" s="20"/>
      <c r="I35" s="41"/>
      <c r="J35" s="21"/>
      <c r="K35" s="20"/>
      <c r="L35" s="41"/>
      <c r="M35" s="21"/>
      <c r="N35" s="20"/>
      <c r="O35" s="41"/>
      <c r="P35" s="21"/>
      <c r="Q35" s="29"/>
      <c r="R35" s="41"/>
      <c r="S35" s="21"/>
      <c r="T35" s="29"/>
      <c r="U35" s="41"/>
      <c r="V35" s="21"/>
      <c r="W35" s="20"/>
      <c r="X35" s="41"/>
      <c r="Y35" s="21"/>
      <c r="Z35" s="20"/>
      <c r="AA35" s="41"/>
      <c r="AB35" s="21"/>
      <c r="AC35" s="20"/>
      <c r="AD35" s="41"/>
      <c r="AE35" s="21"/>
      <c r="AF35" s="20"/>
      <c r="AG35" s="41"/>
      <c r="AH35" s="21"/>
      <c r="AI35" s="24"/>
    </row>
    <row r="36" spans="1:35">
      <c r="A36" s="33" t="str">
        <f t="shared" si="0"/>
        <v>RSAUS</v>
      </c>
      <c r="B36" s="35"/>
      <c r="C36" s="32"/>
      <c r="D36" s="11">
        <f t="shared" si="1"/>
        <v>0</v>
      </c>
      <c r="E36" s="45">
        <f t="shared" si="2"/>
        <v>0</v>
      </c>
      <c r="F36" s="12">
        <f t="shared" si="3"/>
        <v>0</v>
      </c>
      <c r="G36" s="13">
        <f t="shared" si="4"/>
        <v>0</v>
      </c>
      <c r="H36" s="20"/>
      <c r="I36" s="41"/>
      <c r="J36" s="21"/>
      <c r="K36" s="20"/>
      <c r="L36" s="41"/>
      <c r="M36" s="21"/>
      <c r="N36" s="20"/>
      <c r="O36" s="41"/>
      <c r="P36" s="21"/>
      <c r="Q36" s="29"/>
      <c r="R36" s="41"/>
      <c r="S36" s="21"/>
      <c r="T36" s="29"/>
      <c r="U36" s="41"/>
      <c r="V36" s="21"/>
      <c r="W36" s="20"/>
      <c r="X36" s="41"/>
      <c r="Y36" s="21"/>
      <c r="Z36" s="20"/>
      <c r="AA36" s="41"/>
      <c r="AB36" s="21"/>
      <c r="AC36" s="20"/>
      <c r="AD36" s="41"/>
      <c r="AE36" s="21"/>
      <c r="AF36" s="20"/>
      <c r="AG36" s="41"/>
      <c r="AH36" s="21"/>
      <c r="AI36" s="24"/>
    </row>
    <row r="37" spans="1:35">
      <c r="A37" s="33" t="str">
        <f t="shared" si="0"/>
        <v>RSAUS</v>
      </c>
      <c r="B37" s="35"/>
      <c r="C37" s="32"/>
      <c r="D37" s="11">
        <f t="shared" si="1"/>
        <v>0</v>
      </c>
      <c r="E37" s="45">
        <f t="shared" si="2"/>
        <v>0</v>
      </c>
      <c r="F37" s="12">
        <f t="shared" si="3"/>
        <v>0</v>
      </c>
      <c r="G37" s="13">
        <f t="shared" si="4"/>
        <v>0</v>
      </c>
      <c r="H37" s="20"/>
      <c r="I37" s="41"/>
      <c r="J37" s="21"/>
      <c r="K37" s="20"/>
      <c r="L37" s="41"/>
      <c r="M37" s="21"/>
      <c r="N37" s="20"/>
      <c r="O37" s="41"/>
      <c r="P37" s="21"/>
      <c r="Q37" s="29"/>
      <c r="R37" s="41"/>
      <c r="S37" s="21"/>
      <c r="T37" s="29"/>
      <c r="U37" s="41"/>
      <c r="V37" s="21"/>
      <c r="W37" s="20"/>
      <c r="X37" s="41"/>
      <c r="Y37" s="21"/>
      <c r="Z37" s="20"/>
      <c r="AA37" s="41"/>
      <c r="AB37" s="21"/>
      <c r="AC37" s="20"/>
      <c r="AD37" s="41"/>
      <c r="AE37" s="21"/>
      <c r="AF37" s="20"/>
      <c r="AG37" s="41"/>
      <c r="AH37" s="21"/>
      <c r="AI37" s="24"/>
    </row>
    <row r="38" spans="1:35">
      <c r="A38" s="33" t="str">
        <f t="shared" si="0"/>
        <v>RSAUS</v>
      </c>
      <c r="B38" s="35"/>
      <c r="C38" s="32"/>
      <c r="D38" s="11">
        <f t="shared" si="1"/>
        <v>0</v>
      </c>
      <c r="E38" s="45">
        <f t="shared" si="2"/>
        <v>0</v>
      </c>
      <c r="F38" s="12">
        <f t="shared" si="3"/>
        <v>0</v>
      </c>
      <c r="G38" s="13">
        <f t="shared" si="4"/>
        <v>0</v>
      </c>
      <c r="H38" s="20"/>
      <c r="I38" s="41"/>
      <c r="J38" s="21"/>
      <c r="K38" s="20"/>
      <c r="L38" s="41"/>
      <c r="M38" s="21"/>
      <c r="N38" s="20"/>
      <c r="O38" s="41"/>
      <c r="P38" s="21"/>
      <c r="Q38" s="29"/>
      <c r="R38" s="41"/>
      <c r="S38" s="21"/>
      <c r="T38" s="29"/>
      <c r="U38" s="41"/>
      <c r="V38" s="21"/>
      <c r="W38" s="20"/>
      <c r="X38" s="41"/>
      <c r="Y38" s="21"/>
      <c r="Z38" s="20"/>
      <c r="AA38" s="41"/>
      <c r="AB38" s="21"/>
      <c r="AC38" s="20"/>
      <c r="AD38" s="41"/>
      <c r="AE38" s="21"/>
      <c r="AF38" s="20"/>
      <c r="AG38" s="41"/>
      <c r="AH38" s="21"/>
      <c r="AI38" s="24"/>
    </row>
    <row r="39" spans="1:35">
      <c r="A39" s="33" t="str">
        <f t="shared" si="0"/>
        <v>RSAUS</v>
      </c>
      <c r="B39" s="35"/>
      <c r="C39" s="32"/>
      <c r="D39" s="11">
        <f t="shared" si="1"/>
        <v>0</v>
      </c>
      <c r="E39" s="45">
        <f t="shared" si="2"/>
        <v>0</v>
      </c>
      <c r="F39" s="12">
        <f t="shared" si="3"/>
        <v>0</v>
      </c>
      <c r="G39" s="13">
        <f t="shared" si="4"/>
        <v>0</v>
      </c>
      <c r="H39" s="20"/>
      <c r="I39" s="41"/>
      <c r="J39" s="21"/>
      <c r="K39" s="20"/>
      <c r="L39" s="41"/>
      <c r="M39" s="21"/>
      <c r="N39" s="20"/>
      <c r="O39" s="41"/>
      <c r="P39" s="21"/>
      <c r="Q39" s="29"/>
      <c r="R39" s="41"/>
      <c r="S39" s="21"/>
      <c r="T39" s="29"/>
      <c r="U39" s="41"/>
      <c r="V39" s="21"/>
      <c r="W39" s="20"/>
      <c r="X39" s="41"/>
      <c r="Y39" s="21"/>
      <c r="Z39" s="20"/>
      <c r="AA39" s="41"/>
      <c r="AB39" s="21"/>
      <c r="AC39" s="20"/>
      <c r="AD39" s="41"/>
      <c r="AE39" s="21"/>
      <c r="AF39" s="20"/>
      <c r="AG39" s="41"/>
      <c r="AH39" s="21"/>
      <c r="AI39" s="24"/>
    </row>
    <row r="40" spans="1:35">
      <c r="A40" s="33" t="str">
        <f t="shared" si="0"/>
        <v>RSAUS</v>
      </c>
      <c r="B40" s="35"/>
      <c r="C40" s="32"/>
      <c r="D40" s="11">
        <f t="shared" si="1"/>
        <v>0</v>
      </c>
      <c r="E40" s="45">
        <f t="shared" si="2"/>
        <v>0</v>
      </c>
      <c r="F40" s="12">
        <f t="shared" si="3"/>
        <v>0</v>
      </c>
      <c r="G40" s="13">
        <f t="shared" si="4"/>
        <v>0</v>
      </c>
      <c r="H40" s="20"/>
      <c r="I40" s="41"/>
      <c r="J40" s="21"/>
      <c r="K40" s="20"/>
      <c r="L40" s="41"/>
      <c r="M40" s="21"/>
      <c r="N40" s="20"/>
      <c r="O40" s="41"/>
      <c r="P40" s="21"/>
      <c r="Q40" s="29"/>
      <c r="R40" s="41"/>
      <c r="S40" s="21"/>
      <c r="T40" s="29"/>
      <c r="U40" s="41"/>
      <c r="V40" s="21"/>
      <c r="W40" s="20"/>
      <c r="X40" s="41"/>
      <c r="Y40" s="21"/>
      <c r="Z40" s="20"/>
      <c r="AA40" s="41"/>
      <c r="AB40" s="21"/>
      <c r="AC40" s="20"/>
      <c r="AD40" s="41"/>
      <c r="AE40" s="21"/>
      <c r="AF40" s="20"/>
      <c r="AG40" s="41"/>
      <c r="AH40" s="21"/>
      <c r="AI40" s="24"/>
    </row>
    <row r="41" spans="1:35">
      <c r="A41" s="33" t="str">
        <f t="shared" si="0"/>
        <v>RSAUS</v>
      </c>
      <c r="B41" s="35"/>
      <c r="C41" s="32"/>
      <c r="D41" s="11">
        <f t="shared" si="1"/>
        <v>0</v>
      </c>
      <c r="E41" s="45">
        <f t="shared" si="2"/>
        <v>0</v>
      </c>
      <c r="F41" s="12">
        <f t="shared" si="3"/>
        <v>0</v>
      </c>
      <c r="G41" s="13">
        <f t="shared" si="4"/>
        <v>0</v>
      </c>
      <c r="H41" s="20"/>
      <c r="I41" s="41"/>
      <c r="J41" s="21"/>
      <c r="K41" s="20"/>
      <c r="L41" s="41"/>
      <c r="M41" s="21"/>
      <c r="N41" s="20"/>
      <c r="O41" s="41"/>
      <c r="P41" s="21"/>
      <c r="Q41" s="29"/>
      <c r="R41" s="41"/>
      <c r="S41" s="21"/>
      <c r="T41" s="29"/>
      <c r="U41" s="41"/>
      <c r="V41" s="21"/>
      <c r="W41" s="20"/>
      <c r="X41" s="41"/>
      <c r="Y41" s="21"/>
      <c r="Z41" s="20"/>
      <c r="AA41" s="41"/>
      <c r="AB41" s="21"/>
      <c r="AC41" s="20"/>
      <c r="AD41" s="41"/>
      <c r="AE41" s="21"/>
      <c r="AF41" s="20"/>
      <c r="AG41" s="41"/>
      <c r="AH41" s="21"/>
      <c r="AI41" s="24"/>
    </row>
    <row r="42" spans="1:35">
      <c r="A42" s="33" t="str">
        <f t="shared" si="0"/>
        <v>RSAUS</v>
      </c>
      <c r="B42" s="35"/>
      <c r="C42" s="32"/>
      <c r="D42" s="11">
        <f t="shared" si="1"/>
        <v>0</v>
      </c>
      <c r="E42" s="45">
        <f t="shared" si="2"/>
        <v>0</v>
      </c>
      <c r="F42" s="12">
        <f t="shared" si="3"/>
        <v>0</v>
      </c>
      <c r="G42" s="13">
        <f t="shared" si="4"/>
        <v>0</v>
      </c>
      <c r="H42" s="20"/>
      <c r="I42" s="41"/>
      <c r="J42" s="21"/>
      <c r="K42" s="20"/>
      <c r="L42" s="41"/>
      <c r="M42" s="21"/>
      <c r="N42" s="20"/>
      <c r="O42" s="41"/>
      <c r="P42" s="21"/>
      <c r="Q42" s="29"/>
      <c r="R42" s="41"/>
      <c r="S42" s="21"/>
      <c r="T42" s="29"/>
      <c r="U42" s="41"/>
      <c r="V42" s="21"/>
      <c r="W42" s="20"/>
      <c r="X42" s="41"/>
      <c r="Y42" s="21"/>
      <c r="Z42" s="20"/>
      <c r="AA42" s="41"/>
      <c r="AB42" s="21"/>
      <c r="AC42" s="20"/>
      <c r="AD42" s="41"/>
      <c r="AE42" s="21"/>
      <c r="AF42" s="20"/>
      <c r="AG42" s="41"/>
      <c r="AH42" s="21"/>
      <c r="AI42" s="24"/>
    </row>
    <row r="43" spans="1:35">
      <c r="A43" s="33" t="str">
        <f t="shared" si="0"/>
        <v>RSAUS</v>
      </c>
      <c r="B43" s="35"/>
      <c r="C43" s="32"/>
      <c r="D43" s="11">
        <f t="shared" si="1"/>
        <v>0</v>
      </c>
      <c r="E43" s="45">
        <f t="shared" si="2"/>
        <v>0</v>
      </c>
      <c r="F43" s="12">
        <f t="shared" si="3"/>
        <v>0</v>
      </c>
      <c r="G43" s="13">
        <f t="shared" si="4"/>
        <v>0</v>
      </c>
      <c r="H43" s="20"/>
      <c r="I43" s="41"/>
      <c r="J43" s="21"/>
      <c r="K43" s="20"/>
      <c r="L43" s="41"/>
      <c r="M43" s="21"/>
      <c r="N43" s="20"/>
      <c r="O43" s="41"/>
      <c r="P43" s="21"/>
      <c r="Q43" s="29"/>
      <c r="R43" s="41"/>
      <c r="S43" s="21"/>
      <c r="T43" s="29"/>
      <c r="U43" s="41"/>
      <c r="V43" s="21"/>
      <c r="W43" s="20"/>
      <c r="X43" s="41"/>
      <c r="Y43" s="21"/>
      <c r="Z43" s="20"/>
      <c r="AA43" s="41"/>
      <c r="AB43" s="21"/>
      <c r="AC43" s="20"/>
      <c r="AD43" s="41"/>
      <c r="AE43" s="21"/>
      <c r="AF43" s="20"/>
      <c r="AG43" s="41"/>
      <c r="AH43" s="21"/>
      <c r="AI43" s="24"/>
    </row>
    <row r="44" spans="1:35">
      <c r="A44" s="33" t="str">
        <f t="shared" si="0"/>
        <v>RSAUS</v>
      </c>
      <c r="B44" s="35"/>
      <c r="C44" s="32"/>
      <c r="D44" s="11">
        <f t="shared" si="1"/>
        <v>0</v>
      </c>
      <c r="E44" s="45">
        <f t="shared" si="2"/>
        <v>0</v>
      </c>
      <c r="F44" s="12">
        <f t="shared" si="3"/>
        <v>0</v>
      </c>
      <c r="G44" s="13">
        <f t="shared" si="4"/>
        <v>0</v>
      </c>
      <c r="H44" s="20"/>
      <c r="I44" s="41"/>
      <c r="J44" s="21"/>
      <c r="K44" s="20"/>
      <c r="L44" s="41"/>
      <c r="M44" s="21"/>
      <c r="N44" s="20"/>
      <c r="O44" s="41"/>
      <c r="P44" s="21"/>
      <c r="Q44" s="29"/>
      <c r="R44" s="41"/>
      <c r="S44" s="21"/>
      <c r="T44" s="29"/>
      <c r="U44" s="41"/>
      <c r="V44" s="21"/>
      <c r="W44" s="20"/>
      <c r="X44" s="41"/>
      <c r="Y44" s="21"/>
      <c r="Z44" s="20"/>
      <c r="AA44" s="41"/>
      <c r="AB44" s="21"/>
      <c r="AC44" s="20"/>
      <c r="AD44" s="41"/>
      <c r="AE44" s="21"/>
      <c r="AF44" s="20"/>
      <c r="AG44" s="41"/>
      <c r="AH44" s="21"/>
      <c r="AI44" s="24"/>
    </row>
    <row r="45" spans="1:35">
      <c r="A45" s="33" t="str">
        <f t="shared" si="0"/>
        <v>RSAUS</v>
      </c>
      <c r="B45" s="35"/>
      <c r="C45" s="32"/>
      <c r="D45" s="11">
        <f t="shared" si="1"/>
        <v>0</v>
      </c>
      <c r="E45" s="45">
        <f t="shared" si="2"/>
        <v>0</v>
      </c>
      <c r="F45" s="12">
        <f t="shared" si="3"/>
        <v>0</v>
      </c>
      <c r="G45" s="13">
        <f t="shared" si="4"/>
        <v>0</v>
      </c>
      <c r="H45" s="20"/>
      <c r="I45" s="41"/>
      <c r="J45" s="21"/>
      <c r="K45" s="20"/>
      <c r="L45" s="41"/>
      <c r="M45" s="21"/>
      <c r="N45" s="20"/>
      <c r="O45" s="41"/>
      <c r="P45" s="21"/>
      <c r="Q45" s="29"/>
      <c r="R45" s="41"/>
      <c r="S45" s="21"/>
      <c r="T45" s="29"/>
      <c r="U45" s="41"/>
      <c r="V45" s="21"/>
      <c r="W45" s="20"/>
      <c r="X45" s="41"/>
      <c r="Y45" s="21"/>
      <c r="Z45" s="20"/>
      <c r="AA45" s="41"/>
      <c r="AB45" s="21"/>
      <c r="AC45" s="20"/>
      <c r="AD45" s="41"/>
      <c r="AE45" s="21"/>
      <c r="AF45" s="20"/>
      <c r="AG45" s="41"/>
      <c r="AH45" s="21"/>
      <c r="AI45" s="24"/>
    </row>
    <row r="46" spans="1:35">
      <c r="A46" s="33" t="str">
        <f t="shared" si="0"/>
        <v>RSAUS</v>
      </c>
      <c r="B46" s="35"/>
      <c r="C46" s="32"/>
      <c r="D46" s="11">
        <f t="shared" si="1"/>
        <v>0</v>
      </c>
      <c r="E46" s="45">
        <f t="shared" si="2"/>
        <v>0</v>
      </c>
      <c r="F46" s="12">
        <f t="shared" si="3"/>
        <v>0</v>
      </c>
      <c r="G46" s="13">
        <f t="shared" si="4"/>
        <v>0</v>
      </c>
      <c r="H46" s="20"/>
      <c r="I46" s="41"/>
      <c r="J46" s="21"/>
      <c r="K46" s="20"/>
      <c r="L46" s="41"/>
      <c r="M46" s="21"/>
      <c r="N46" s="20"/>
      <c r="O46" s="41"/>
      <c r="P46" s="21"/>
      <c r="Q46" s="29"/>
      <c r="R46" s="41"/>
      <c r="S46" s="21"/>
      <c r="T46" s="29"/>
      <c r="U46" s="41"/>
      <c r="V46" s="21"/>
      <c r="W46" s="20"/>
      <c r="X46" s="41"/>
      <c r="Y46" s="21"/>
      <c r="Z46" s="20"/>
      <c r="AA46" s="41"/>
      <c r="AB46" s="21"/>
      <c r="AC46" s="20"/>
      <c r="AD46" s="41"/>
      <c r="AE46" s="21"/>
      <c r="AF46" s="20"/>
      <c r="AG46" s="41"/>
      <c r="AH46" s="21"/>
      <c r="AI46" s="24"/>
    </row>
    <row r="47" spans="1:35">
      <c r="A47" s="33" t="str">
        <f t="shared" si="0"/>
        <v>RSAUS</v>
      </c>
      <c r="B47" s="35"/>
      <c r="C47" s="32"/>
      <c r="D47" s="11">
        <f t="shared" si="1"/>
        <v>0</v>
      </c>
      <c r="E47" s="45">
        <f t="shared" si="2"/>
        <v>0</v>
      </c>
      <c r="F47" s="12">
        <f t="shared" si="3"/>
        <v>0</v>
      </c>
      <c r="G47" s="13">
        <f t="shared" si="4"/>
        <v>0</v>
      </c>
      <c r="H47" s="20"/>
      <c r="I47" s="41"/>
      <c r="J47" s="21"/>
      <c r="K47" s="20"/>
      <c r="L47" s="41"/>
      <c r="M47" s="21"/>
      <c r="N47" s="20"/>
      <c r="O47" s="41"/>
      <c r="P47" s="21"/>
      <c r="Q47" s="29"/>
      <c r="R47" s="41"/>
      <c r="S47" s="21"/>
      <c r="T47" s="29"/>
      <c r="U47" s="41"/>
      <c r="V47" s="21"/>
      <c r="W47" s="20"/>
      <c r="X47" s="41"/>
      <c r="Y47" s="21"/>
      <c r="Z47" s="20"/>
      <c r="AA47" s="41"/>
      <c r="AB47" s="21"/>
      <c r="AC47" s="20"/>
      <c r="AD47" s="41"/>
      <c r="AE47" s="21"/>
      <c r="AF47" s="20"/>
      <c r="AG47" s="41"/>
      <c r="AH47" s="21"/>
      <c r="AI47" s="24"/>
    </row>
    <row r="48" spans="1:35">
      <c r="A48" s="33" t="str">
        <f t="shared" si="0"/>
        <v>RSAUS</v>
      </c>
      <c r="B48" s="35"/>
      <c r="C48" s="32"/>
      <c r="D48" s="11">
        <f t="shared" si="1"/>
        <v>0</v>
      </c>
      <c r="E48" s="45">
        <f t="shared" si="2"/>
        <v>0</v>
      </c>
      <c r="F48" s="12">
        <f t="shared" si="3"/>
        <v>0</v>
      </c>
      <c r="G48" s="13">
        <f t="shared" si="4"/>
        <v>0</v>
      </c>
      <c r="H48" s="20"/>
      <c r="I48" s="41"/>
      <c r="J48" s="21"/>
      <c r="K48" s="20"/>
      <c r="L48" s="41"/>
      <c r="M48" s="21"/>
      <c r="N48" s="20"/>
      <c r="O48" s="41"/>
      <c r="P48" s="21"/>
      <c r="Q48" s="29"/>
      <c r="R48" s="41"/>
      <c r="S48" s="21"/>
      <c r="T48" s="29"/>
      <c r="U48" s="41"/>
      <c r="V48" s="21"/>
      <c r="W48" s="20"/>
      <c r="X48" s="41"/>
      <c r="Y48" s="21"/>
      <c r="Z48" s="20"/>
      <c r="AA48" s="41"/>
      <c r="AB48" s="21"/>
      <c r="AC48" s="20"/>
      <c r="AD48" s="41"/>
      <c r="AE48" s="21"/>
      <c r="AF48" s="20"/>
      <c r="AG48" s="41"/>
      <c r="AH48" s="21"/>
      <c r="AI48" s="24"/>
    </row>
    <row r="49" spans="1:35">
      <c r="A49" s="33" t="str">
        <f t="shared" si="0"/>
        <v>RSAUS</v>
      </c>
      <c r="B49" s="35"/>
      <c r="C49" s="32"/>
      <c r="D49" s="11">
        <f t="shared" si="1"/>
        <v>0</v>
      </c>
      <c r="E49" s="45">
        <f t="shared" si="2"/>
        <v>0</v>
      </c>
      <c r="F49" s="12">
        <f t="shared" si="3"/>
        <v>0</v>
      </c>
      <c r="G49" s="13">
        <f t="shared" si="4"/>
        <v>0</v>
      </c>
      <c r="H49" s="20"/>
      <c r="I49" s="41"/>
      <c r="J49" s="21"/>
      <c r="K49" s="20"/>
      <c r="L49" s="41"/>
      <c r="M49" s="21"/>
      <c r="N49" s="20"/>
      <c r="O49" s="41"/>
      <c r="P49" s="21"/>
      <c r="Q49" s="29"/>
      <c r="R49" s="41"/>
      <c r="S49" s="21"/>
      <c r="T49" s="29"/>
      <c r="U49" s="41"/>
      <c r="V49" s="21"/>
      <c r="W49" s="20"/>
      <c r="X49" s="41"/>
      <c r="Y49" s="21"/>
      <c r="Z49" s="20"/>
      <c r="AA49" s="41"/>
      <c r="AB49" s="21"/>
      <c r="AC49" s="20"/>
      <c r="AD49" s="41"/>
      <c r="AE49" s="21"/>
      <c r="AF49" s="20"/>
      <c r="AG49" s="41"/>
      <c r="AH49" s="21"/>
      <c r="AI49" s="24"/>
    </row>
    <row r="50" spans="1:35">
      <c r="A50" s="33" t="str">
        <f t="shared" si="0"/>
        <v>RSAUS</v>
      </c>
      <c r="B50" s="35"/>
      <c r="C50" s="32"/>
      <c r="D50" s="11">
        <f t="shared" si="1"/>
        <v>0</v>
      </c>
      <c r="E50" s="45">
        <f t="shared" si="2"/>
        <v>0</v>
      </c>
      <c r="F50" s="12">
        <f t="shared" si="3"/>
        <v>0</v>
      </c>
      <c r="G50" s="13">
        <f t="shared" si="4"/>
        <v>0</v>
      </c>
      <c r="H50" s="20"/>
      <c r="I50" s="41"/>
      <c r="J50" s="21"/>
      <c r="K50" s="20"/>
      <c r="L50" s="41"/>
      <c r="M50" s="21"/>
      <c r="N50" s="20"/>
      <c r="O50" s="41"/>
      <c r="P50" s="21"/>
      <c r="Q50" s="29"/>
      <c r="R50" s="41"/>
      <c r="S50" s="21"/>
      <c r="T50" s="29"/>
      <c r="U50" s="41"/>
      <c r="V50" s="21"/>
      <c r="W50" s="20"/>
      <c r="X50" s="41"/>
      <c r="Y50" s="21"/>
      <c r="Z50" s="20"/>
      <c r="AA50" s="41"/>
      <c r="AB50" s="21"/>
      <c r="AC50" s="20"/>
      <c r="AD50" s="41"/>
      <c r="AE50" s="21"/>
      <c r="AF50" s="20"/>
      <c r="AG50" s="41"/>
      <c r="AH50" s="21"/>
      <c r="AI50" s="24"/>
    </row>
    <row r="51" spans="1:35">
      <c r="A51" s="33" t="str">
        <f t="shared" si="0"/>
        <v>RSAUS</v>
      </c>
      <c r="B51" s="35"/>
      <c r="C51" s="32"/>
      <c r="D51" s="11">
        <f t="shared" si="1"/>
        <v>0</v>
      </c>
      <c r="E51" s="45">
        <f t="shared" si="2"/>
        <v>0</v>
      </c>
      <c r="F51" s="12">
        <f t="shared" si="3"/>
        <v>0</v>
      </c>
      <c r="G51" s="13">
        <f t="shared" si="4"/>
        <v>0</v>
      </c>
      <c r="H51" s="20"/>
      <c r="I51" s="41"/>
      <c r="J51" s="21"/>
      <c r="K51" s="20"/>
      <c r="L51" s="41"/>
      <c r="M51" s="21"/>
      <c r="N51" s="20"/>
      <c r="O51" s="41"/>
      <c r="P51" s="21"/>
      <c r="Q51" s="29"/>
      <c r="R51" s="41"/>
      <c r="S51" s="21"/>
      <c r="T51" s="29"/>
      <c r="U51" s="41"/>
      <c r="V51" s="21"/>
      <c r="W51" s="20"/>
      <c r="X51" s="41"/>
      <c r="Y51" s="21"/>
      <c r="Z51" s="20"/>
      <c r="AA51" s="41"/>
      <c r="AB51" s="21"/>
      <c r="AC51" s="20"/>
      <c r="AD51" s="41"/>
      <c r="AE51" s="21"/>
      <c r="AF51" s="20"/>
      <c r="AG51" s="41"/>
      <c r="AH51" s="21"/>
      <c r="AI51" s="24"/>
    </row>
    <row r="52" spans="1:35">
      <c r="A52" s="33" t="str">
        <f t="shared" si="0"/>
        <v>RSAUS</v>
      </c>
      <c r="B52" s="35"/>
      <c r="C52" s="32"/>
      <c r="D52" s="11">
        <f t="shared" si="1"/>
        <v>0</v>
      </c>
      <c r="E52" s="45">
        <f t="shared" si="2"/>
        <v>0</v>
      </c>
      <c r="F52" s="12">
        <f t="shared" si="3"/>
        <v>0</v>
      </c>
      <c r="G52" s="13">
        <f t="shared" si="4"/>
        <v>0</v>
      </c>
      <c r="H52" s="20"/>
      <c r="I52" s="41"/>
      <c r="J52" s="21"/>
      <c r="K52" s="20"/>
      <c r="L52" s="41"/>
      <c r="M52" s="21"/>
      <c r="N52" s="20"/>
      <c r="O52" s="41"/>
      <c r="P52" s="21"/>
      <c r="Q52" s="29"/>
      <c r="R52" s="41"/>
      <c r="S52" s="21"/>
      <c r="T52" s="29"/>
      <c r="U52" s="41"/>
      <c r="V52" s="21"/>
      <c r="W52" s="20"/>
      <c r="X52" s="41"/>
      <c r="Y52" s="21"/>
      <c r="Z52" s="20"/>
      <c r="AA52" s="41"/>
      <c r="AB52" s="21"/>
      <c r="AC52" s="20"/>
      <c r="AD52" s="41"/>
      <c r="AE52" s="21"/>
      <c r="AF52" s="20"/>
      <c r="AG52" s="41"/>
      <c r="AH52" s="21"/>
      <c r="AI52" s="24"/>
    </row>
    <row r="53" spans="1:35">
      <c r="A53" s="33" t="str">
        <f t="shared" si="0"/>
        <v>RSAUS</v>
      </c>
      <c r="B53" s="35"/>
      <c r="C53" s="32"/>
      <c r="D53" s="11">
        <f t="shared" si="1"/>
        <v>0</v>
      </c>
      <c r="E53" s="45">
        <f t="shared" si="2"/>
        <v>0</v>
      </c>
      <c r="F53" s="12">
        <f t="shared" si="3"/>
        <v>0</v>
      </c>
      <c r="G53" s="13">
        <f t="shared" si="4"/>
        <v>0</v>
      </c>
      <c r="H53" s="20"/>
      <c r="I53" s="41"/>
      <c r="J53" s="21"/>
      <c r="K53" s="20"/>
      <c r="L53" s="41"/>
      <c r="M53" s="21"/>
      <c r="N53" s="20"/>
      <c r="O53" s="41"/>
      <c r="P53" s="21"/>
      <c r="Q53" s="29"/>
      <c r="R53" s="41"/>
      <c r="S53" s="21"/>
      <c r="T53" s="29"/>
      <c r="U53" s="41"/>
      <c r="V53" s="21"/>
      <c r="W53" s="20"/>
      <c r="X53" s="41"/>
      <c r="Y53" s="21"/>
      <c r="Z53" s="20"/>
      <c r="AA53" s="41"/>
      <c r="AB53" s="21"/>
      <c r="AC53" s="20"/>
      <c r="AD53" s="41"/>
      <c r="AE53" s="21"/>
      <c r="AF53" s="20"/>
      <c r="AG53" s="41"/>
      <c r="AH53" s="21"/>
      <c r="AI53" s="24"/>
    </row>
    <row r="54" spans="1:35">
      <c r="A54" s="33" t="str">
        <f t="shared" si="0"/>
        <v>RSAUS</v>
      </c>
      <c r="B54" s="35"/>
      <c r="C54" s="32"/>
      <c r="D54" s="11">
        <f t="shared" si="1"/>
        <v>0</v>
      </c>
      <c r="E54" s="45">
        <f t="shared" si="2"/>
        <v>0</v>
      </c>
      <c r="F54" s="12">
        <f t="shared" si="3"/>
        <v>0</v>
      </c>
      <c r="G54" s="13">
        <f t="shared" si="4"/>
        <v>0</v>
      </c>
      <c r="H54" s="20"/>
      <c r="I54" s="41"/>
      <c r="J54" s="21"/>
      <c r="K54" s="20"/>
      <c r="L54" s="41"/>
      <c r="M54" s="21"/>
      <c r="N54" s="20"/>
      <c r="O54" s="41"/>
      <c r="P54" s="21"/>
      <c r="Q54" s="29"/>
      <c r="R54" s="41"/>
      <c r="S54" s="21"/>
      <c r="T54" s="29"/>
      <c r="U54" s="41"/>
      <c r="V54" s="21"/>
      <c r="W54" s="20"/>
      <c r="X54" s="41"/>
      <c r="Y54" s="21"/>
      <c r="Z54" s="20"/>
      <c r="AA54" s="41"/>
      <c r="AB54" s="21"/>
      <c r="AC54" s="20"/>
      <c r="AD54" s="41"/>
      <c r="AE54" s="21"/>
      <c r="AF54" s="20"/>
      <c r="AG54" s="41"/>
      <c r="AH54" s="21"/>
      <c r="AI54" s="24"/>
    </row>
    <row r="55" spans="1:35">
      <c r="A55" s="33" t="str">
        <f t="shared" si="0"/>
        <v>RSAUS</v>
      </c>
      <c r="B55" s="35"/>
      <c r="C55" s="32"/>
      <c r="D55" s="11">
        <f t="shared" si="1"/>
        <v>0</v>
      </c>
      <c r="E55" s="45">
        <f t="shared" si="2"/>
        <v>0</v>
      </c>
      <c r="F55" s="12">
        <f t="shared" si="3"/>
        <v>0</v>
      </c>
      <c r="G55" s="13">
        <f t="shared" si="4"/>
        <v>0</v>
      </c>
      <c r="H55" s="20"/>
      <c r="I55" s="41"/>
      <c r="J55" s="21"/>
      <c r="K55" s="20"/>
      <c r="L55" s="41"/>
      <c r="M55" s="21"/>
      <c r="N55" s="20"/>
      <c r="O55" s="41"/>
      <c r="P55" s="21"/>
      <c r="Q55" s="29"/>
      <c r="R55" s="41"/>
      <c r="S55" s="21"/>
      <c r="T55" s="29"/>
      <c r="U55" s="41"/>
      <c r="V55" s="21"/>
      <c r="W55" s="20"/>
      <c r="X55" s="41"/>
      <c r="Y55" s="21"/>
      <c r="Z55" s="20"/>
      <c r="AA55" s="41"/>
      <c r="AB55" s="21"/>
      <c r="AC55" s="20"/>
      <c r="AD55" s="41"/>
      <c r="AE55" s="21"/>
      <c r="AF55" s="20"/>
      <c r="AG55" s="41"/>
      <c r="AH55" s="21"/>
      <c r="AI55" s="24"/>
    </row>
    <row r="56" spans="1:35">
      <c r="A56" s="33" t="str">
        <f t="shared" si="0"/>
        <v>RSAUS</v>
      </c>
      <c r="B56" s="35"/>
      <c r="C56" s="32"/>
      <c r="D56" s="11">
        <f t="shared" si="1"/>
        <v>0</v>
      </c>
      <c r="E56" s="45">
        <f t="shared" si="2"/>
        <v>0</v>
      </c>
      <c r="F56" s="12">
        <f t="shared" si="3"/>
        <v>0</v>
      </c>
      <c r="G56" s="13">
        <f t="shared" si="4"/>
        <v>0</v>
      </c>
      <c r="H56" s="20"/>
      <c r="I56" s="41"/>
      <c r="J56" s="21"/>
      <c r="K56" s="20"/>
      <c r="L56" s="41"/>
      <c r="M56" s="21"/>
      <c r="N56" s="20"/>
      <c r="O56" s="41"/>
      <c r="P56" s="21"/>
      <c r="Q56" s="29"/>
      <c r="R56" s="41"/>
      <c r="S56" s="21"/>
      <c r="T56" s="29"/>
      <c r="U56" s="41"/>
      <c r="V56" s="21"/>
      <c r="W56" s="20"/>
      <c r="X56" s="41"/>
      <c r="Y56" s="21"/>
      <c r="Z56" s="20"/>
      <c r="AA56" s="41"/>
      <c r="AB56" s="21"/>
      <c r="AC56" s="20"/>
      <c r="AD56" s="41"/>
      <c r="AE56" s="21"/>
      <c r="AF56" s="20"/>
      <c r="AG56" s="41"/>
      <c r="AH56" s="21"/>
      <c r="AI56" s="24"/>
    </row>
    <row r="57" spans="1:35">
      <c r="A57" s="33" t="str">
        <f t="shared" si="0"/>
        <v>RSAUS</v>
      </c>
      <c r="B57" s="35"/>
      <c r="C57" s="32"/>
      <c r="D57" s="11">
        <f t="shared" si="1"/>
        <v>0</v>
      </c>
      <c r="E57" s="45">
        <f t="shared" si="2"/>
        <v>0</v>
      </c>
      <c r="F57" s="12">
        <f t="shared" si="3"/>
        <v>0</v>
      </c>
      <c r="G57" s="13">
        <f t="shared" si="4"/>
        <v>0</v>
      </c>
      <c r="H57" s="20"/>
      <c r="I57" s="41"/>
      <c r="J57" s="21"/>
      <c r="K57" s="20"/>
      <c r="L57" s="41"/>
      <c r="M57" s="21"/>
      <c r="N57" s="20"/>
      <c r="O57" s="41"/>
      <c r="P57" s="21"/>
      <c r="Q57" s="29"/>
      <c r="R57" s="41"/>
      <c r="S57" s="21"/>
      <c r="T57" s="29"/>
      <c r="U57" s="41"/>
      <c r="V57" s="21"/>
      <c r="W57" s="20"/>
      <c r="X57" s="41"/>
      <c r="Y57" s="21"/>
      <c r="Z57" s="20"/>
      <c r="AA57" s="41"/>
      <c r="AB57" s="21"/>
      <c r="AC57" s="20"/>
      <c r="AD57" s="41"/>
      <c r="AE57" s="21"/>
      <c r="AF57" s="20"/>
      <c r="AG57" s="41"/>
      <c r="AH57" s="21"/>
      <c r="AI57" s="24"/>
    </row>
    <row r="58" spans="1:35" ht="15.95" thickBot="1">
      <c r="A58" s="15" t="str">
        <f t="shared" si="0"/>
        <v>RSAUS</v>
      </c>
      <c r="B58" s="36"/>
      <c r="C58" s="8"/>
      <c r="D58" s="14">
        <f t="shared" si="1"/>
        <v>0</v>
      </c>
      <c r="E58" s="46">
        <f t="shared" si="2"/>
        <v>0</v>
      </c>
      <c r="F58" s="16">
        <f t="shared" si="3"/>
        <v>0</v>
      </c>
      <c r="G58" s="17">
        <f t="shared" si="4"/>
        <v>0</v>
      </c>
      <c r="H58" s="22"/>
      <c r="I58" s="42"/>
      <c r="J58" s="8"/>
      <c r="K58" s="22"/>
      <c r="L58" s="42"/>
      <c r="M58" s="8"/>
      <c r="N58" s="22"/>
      <c r="O58" s="42"/>
      <c r="P58" s="8"/>
      <c r="Q58" s="30"/>
      <c r="R58" s="42"/>
      <c r="S58" s="8"/>
      <c r="T58" s="30"/>
      <c r="U58" s="42"/>
      <c r="V58" s="8"/>
      <c r="W58" s="22"/>
      <c r="X58" s="42"/>
      <c r="Y58" s="8"/>
      <c r="Z58" s="22"/>
      <c r="AA58" s="42"/>
      <c r="AB58" s="8"/>
      <c r="AC58" s="22"/>
      <c r="AD58" s="42"/>
      <c r="AE58" s="8"/>
      <c r="AF58" s="22"/>
      <c r="AG58" s="42"/>
      <c r="AH58" s="8"/>
      <c r="AI58" s="25"/>
    </row>
  </sheetData>
  <mergeCells count="10">
    <mergeCell ref="AC11:AE11"/>
    <mergeCell ref="AF11:AH11"/>
    <mergeCell ref="H11:J11"/>
    <mergeCell ref="Q11:S11"/>
    <mergeCell ref="T11:V11"/>
    <mergeCell ref="D11:G11"/>
    <mergeCell ref="K11:M11"/>
    <mergeCell ref="N11:P11"/>
    <mergeCell ref="W11:Y11"/>
    <mergeCell ref="Z11:AB11"/>
  </mergeCells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2A58-712D-4DD7-B16F-63966DE07C02}">
  <dimension ref="A1:G230"/>
  <sheetViews>
    <sheetView workbookViewId="0">
      <selection activeCell="D15" sqref="D15"/>
    </sheetView>
  </sheetViews>
  <sheetFormatPr defaultColWidth="11.42578125" defaultRowHeight="12.95"/>
  <cols>
    <col min="1" max="1" width="8.140625" style="48" bestFit="1" customWidth="1"/>
    <col min="2" max="2" width="27.42578125" style="48" bestFit="1" customWidth="1"/>
    <col min="3" max="3" width="8.85546875" style="48" bestFit="1" customWidth="1"/>
    <col min="4" max="4" width="14.42578125" style="48" bestFit="1" customWidth="1"/>
    <col min="5" max="5" width="0" style="48" hidden="1" customWidth="1"/>
    <col min="6" max="6" width="31.7109375" style="48" bestFit="1" customWidth="1"/>
    <col min="7" max="16384" width="11.42578125" style="48"/>
  </cols>
  <sheetData>
    <row r="1" spans="1:7" ht="15.95">
      <c r="E1" s="61" t="s">
        <v>32</v>
      </c>
      <c r="F1" s="61"/>
      <c r="G1" s="61"/>
    </row>
    <row r="2" spans="1:7" ht="15">
      <c r="A2" s="49" t="s">
        <v>33</v>
      </c>
      <c r="B2" s="50" t="s">
        <v>22</v>
      </c>
      <c r="C2" s="50" t="s">
        <v>34</v>
      </c>
      <c r="D2" s="50" t="s">
        <v>23</v>
      </c>
      <c r="E2" s="50" t="s">
        <v>29</v>
      </c>
      <c r="F2" s="51" t="s">
        <v>35</v>
      </c>
      <c r="G2" s="51" t="s">
        <v>36</v>
      </c>
    </row>
    <row r="3" spans="1:7" ht="14.1">
      <c r="A3" s="52" t="s">
        <v>37</v>
      </c>
      <c r="B3" s="52" t="s">
        <v>38</v>
      </c>
      <c r="C3" s="52" t="s">
        <v>39</v>
      </c>
      <c r="D3" s="52" t="s">
        <v>40</v>
      </c>
      <c r="E3" s="53">
        <v>39</v>
      </c>
      <c r="F3" s="53"/>
      <c r="G3" s="54"/>
    </row>
    <row r="4" spans="1:7" ht="14.1">
      <c r="A4" s="52" t="s">
        <v>37</v>
      </c>
      <c r="B4" s="52" t="s">
        <v>41</v>
      </c>
      <c r="C4" s="52" t="s">
        <v>39</v>
      </c>
      <c r="D4" s="52" t="s">
        <v>42</v>
      </c>
      <c r="E4" s="53">
        <v>11</v>
      </c>
      <c r="F4" s="53"/>
      <c r="G4" s="54"/>
    </row>
    <row r="5" spans="1:7" ht="14.1">
      <c r="A5" s="52" t="s">
        <v>37</v>
      </c>
      <c r="B5" s="52" t="s">
        <v>43</v>
      </c>
      <c r="C5" s="52" t="s">
        <v>39</v>
      </c>
      <c r="D5" s="52" t="s">
        <v>44</v>
      </c>
      <c r="E5" s="53">
        <v>34</v>
      </c>
      <c r="F5" s="53"/>
      <c r="G5" s="54"/>
    </row>
    <row r="6" spans="1:7" ht="14.1">
      <c r="A6" s="52" t="s">
        <v>37</v>
      </c>
      <c r="B6" s="52" t="s">
        <v>45</v>
      </c>
      <c r="C6" s="52" t="s">
        <v>39</v>
      </c>
      <c r="D6" s="52" t="s">
        <v>46</v>
      </c>
      <c r="E6" s="53">
        <v>36</v>
      </c>
      <c r="F6" s="53"/>
      <c r="G6" s="54"/>
    </row>
    <row r="7" spans="1:7" ht="14.1">
      <c r="A7" s="52" t="s">
        <v>37</v>
      </c>
      <c r="B7" s="52" t="s">
        <v>47</v>
      </c>
      <c r="C7" s="52" t="s">
        <v>39</v>
      </c>
      <c r="D7" s="52" t="s">
        <v>48</v>
      </c>
      <c r="E7" s="53">
        <v>65</v>
      </c>
      <c r="F7" s="53"/>
      <c r="G7" s="54"/>
    </row>
    <row r="8" spans="1:7" ht="14.1">
      <c r="A8" s="52" t="s">
        <v>37</v>
      </c>
      <c r="B8" s="52" t="s">
        <v>49</v>
      </c>
      <c r="C8" s="52" t="s">
        <v>39</v>
      </c>
      <c r="D8" s="52" t="s">
        <v>50</v>
      </c>
      <c r="E8" s="53">
        <v>23</v>
      </c>
      <c r="F8" s="53"/>
      <c r="G8" s="54"/>
    </row>
    <row r="9" spans="1:7" ht="14.1">
      <c r="A9" s="52" t="s">
        <v>37</v>
      </c>
      <c r="B9" s="52" t="s">
        <v>51</v>
      </c>
      <c r="C9" s="52" t="s">
        <v>52</v>
      </c>
      <c r="D9" s="52" t="s">
        <v>53</v>
      </c>
      <c r="E9" s="53">
        <v>209</v>
      </c>
      <c r="F9" s="53"/>
      <c r="G9" s="54"/>
    </row>
    <row r="10" spans="1:7" ht="14.1">
      <c r="A10" s="52" t="s">
        <v>37</v>
      </c>
      <c r="B10" s="52" t="s">
        <v>51</v>
      </c>
      <c r="C10" s="52" t="s">
        <v>52</v>
      </c>
      <c r="D10" s="52" t="s">
        <v>54</v>
      </c>
      <c r="E10" s="53">
        <v>130</v>
      </c>
      <c r="F10" s="53"/>
      <c r="G10" s="54"/>
    </row>
    <row r="11" spans="1:7" ht="14.1">
      <c r="A11" s="52" t="s">
        <v>37</v>
      </c>
      <c r="B11" s="52" t="s">
        <v>55</v>
      </c>
      <c r="C11" s="52" t="s">
        <v>39</v>
      </c>
      <c r="D11" s="52" t="s">
        <v>56</v>
      </c>
      <c r="E11" s="53">
        <v>5</v>
      </c>
      <c r="F11" s="53"/>
      <c r="G11" s="54"/>
    </row>
    <row r="12" spans="1:7" ht="14.1">
      <c r="A12" s="52" t="s">
        <v>37</v>
      </c>
      <c r="B12" s="52" t="s">
        <v>55</v>
      </c>
      <c r="C12" s="52" t="s">
        <v>39</v>
      </c>
      <c r="D12" s="52" t="s">
        <v>57</v>
      </c>
      <c r="E12" s="53">
        <v>63</v>
      </c>
      <c r="F12" s="53"/>
      <c r="G12" s="54"/>
    </row>
    <row r="13" spans="1:7" ht="14.1">
      <c r="A13" s="52" t="s">
        <v>37</v>
      </c>
      <c r="B13" s="52" t="s">
        <v>55</v>
      </c>
      <c r="C13" s="52" t="s">
        <v>39</v>
      </c>
      <c r="D13" s="52" t="s">
        <v>58</v>
      </c>
      <c r="E13" s="53">
        <v>3</v>
      </c>
      <c r="F13" s="53" t="s">
        <v>59</v>
      </c>
      <c r="G13" s="54">
        <v>1</v>
      </c>
    </row>
    <row r="14" spans="1:7" ht="14.1">
      <c r="A14" s="52" t="s">
        <v>37</v>
      </c>
      <c r="B14" s="52" t="s">
        <v>55</v>
      </c>
      <c r="C14" s="52" t="s">
        <v>39</v>
      </c>
      <c r="D14" s="52" t="s">
        <v>60</v>
      </c>
      <c r="E14" s="53">
        <v>5</v>
      </c>
      <c r="F14" s="53" t="s">
        <v>61</v>
      </c>
      <c r="G14" s="54">
        <v>1</v>
      </c>
    </row>
    <row r="15" spans="1:7" ht="14.1">
      <c r="A15" s="52" t="s">
        <v>37</v>
      </c>
      <c r="B15" s="52" t="s">
        <v>55</v>
      </c>
      <c r="C15" s="52" t="s">
        <v>39</v>
      </c>
      <c r="D15" s="52" t="s">
        <v>31</v>
      </c>
      <c r="E15" s="53">
        <v>1</v>
      </c>
      <c r="F15" s="53"/>
      <c r="G15" s="54"/>
    </row>
    <row r="16" spans="1:7" ht="14.1">
      <c r="A16" s="52" t="s">
        <v>37</v>
      </c>
      <c r="B16" s="52" t="s">
        <v>55</v>
      </c>
      <c r="C16" s="52" t="s">
        <v>39</v>
      </c>
      <c r="D16" s="52" t="s">
        <v>62</v>
      </c>
      <c r="E16" s="53">
        <v>64</v>
      </c>
      <c r="F16" s="53" t="s">
        <v>63</v>
      </c>
      <c r="G16" s="54">
        <v>0.7</v>
      </c>
    </row>
    <row r="17" spans="1:7" ht="14.1">
      <c r="A17" s="52" t="s">
        <v>37</v>
      </c>
      <c r="B17" s="52" t="s">
        <v>64</v>
      </c>
      <c r="C17" s="52" t="s">
        <v>39</v>
      </c>
      <c r="D17" s="52" t="s">
        <v>44</v>
      </c>
      <c r="E17" s="53">
        <v>156</v>
      </c>
      <c r="F17" s="53" t="s">
        <v>59</v>
      </c>
      <c r="G17" s="54">
        <v>52</v>
      </c>
    </row>
    <row r="18" spans="1:7" ht="14.1">
      <c r="A18" s="52" t="s">
        <v>37</v>
      </c>
      <c r="B18" s="52" t="s">
        <v>65</v>
      </c>
      <c r="C18" s="52" t="s">
        <v>39</v>
      </c>
      <c r="D18" s="52" t="s">
        <v>48</v>
      </c>
      <c r="E18" s="53">
        <v>30</v>
      </c>
      <c r="F18" s="53" t="s">
        <v>59</v>
      </c>
      <c r="G18" s="54">
        <v>1</v>
      </c>
    </row>
    <row r="19" spans="1:7" ht="14.1">
      <c r="A19" s="52" t="s">
        <v>37</v>
      </c>
      <c r="B19" s="52" t="s">
        <v>66</v>
      </c>
      <c r="C19" s="52" t="s">
        <v>39</v>
      </c>
      <c r="D19" s="52" t="s">
        <v>50</v>
      </c>
      <c r="E19" s="53">
        <v>5</v>
      </c>
      <c r="F19" s="53"/>
      <c r="G19" s="54"/>
    </row>
    <row r="20" spans="1:7" ht="14.1">
      <c r="A20" s="52" t="s">
        <v>37</v>
      </c>
      <c r="B20" s="52" t="s">
        <v>67</v>
      </c>
      <c r="C20" s="52" t="s">
        <v>39</v>
      </c>
      <c r="D20" s="52" t="s">
        <v>68</v>
      </c>
      <c r="E20" s="53">
        <v>7</v>
      </c>
      <c r="F20" s="53"/>
      <c r="G20" s="54"/>
    </row>
    <row r="21" spans="1:7" ht="14.1">
      <c r="A21" s="52" t="s">
        <v>37</v>
      </c>
      <c r="B21" s="52" t="s">
        <v>69</v>
      </c>
      <c r="C21" s="52" t="s">
        <v>39</v>
      </c>
      <c r="D21" s="52" t="s">
        <v>70</v>
      </c>
      <c r="E21" s="53">
        <v>4</v>
      </c>
      <c r="F21" s="53"/>
      <c r="G21" s="54"/>
    </row>
    <row r="22" spans="1:7" ht="14.1">
      <c r="A22" s="52" t="s">
        <v>37</v>
      </c>
      <c r="B22" s="52" t="s">
        <v>69</v>
      </c>
      <c r="C22" s="52" t="s">
        <v>39</v>
      </c>
      <c r="D22" s="52" t="s">
        <v>71</v>
      </c>
      <c r="E22" s="53">
        <v>2</v>
      </c>
      <c r="F22" s="53" t="s">
        <v>59</v>
      </c>
      <c r="G22" s="54">
        <v>2</v>
      </c>
    </row>
    <row r="23" spans="1:7" ht="14.1">
      <c r="A23" s="52" t="s">
        <v>37</v>
      </c>
      <c r="B23" s="52" t="s">
        <v>69</v>
      </c>
      <c r="C23" s="52" t="s">
        <v>39</v>
      </c>
      <c r="D23" s="52" t="s">
        <v>72</v>
      </c>
      <c r="E23" s="53">
        <v>4</v>
      </c>
      <c r="F23" s="53" t="s">
        <v>59</v>
      </c>
      <c r="G23" s="54">
        <v>1</v>
      </c>
    </row>
    <row r="24" spans="1:7" ht="14.1">
      <c r="A24" s="52" t="s">
        <v>37</v>
      </c>
      <c r="B24" s="52" t="s">
        <v>73</v>
      </c>
      <c r="C24" s="52" t="s">
        <v>74</v>
      </c>
      <c r="D24" s="52" t="s">
        <v>70</v>
      </c>
      <c r="E24" s="53">
        <v>2</v>
      </c>
      <c r="F24" s="53" t="s">
        <v>59</v>
      </c>
      <c r="G24" s="54">
        <v>2</v>
      </c>
    </row>
    <row r="25" spans="1:7" ht="14.1">
      <c r="A25" s="52" t="s">
        <v>37</v>
      </c>
      <c r="B25" s="52" t="s">
        <v>73</v>
      </c>
      <c r="C25" s="52" t="s">
        <v>39</v>
      </c>
      <c r="D25" s="52" t="s">
        <v>70</v>
      </c>
      <c r="E25" s="53">
        <v>151</v>
      </c>
      <c r="F25" s="53" t="s">
        <v>59</v>
      </c>
      <c r="G25" s="54">
        <v>109</v>
      </c>
    </row>
    <row r="26" spans="1:7" ht="14.1">
      <c r="A26" s="52" t="s">
        <v>37</v>
      </c>
      <c r="B26" s="52" t="s">
        <v>73</v>
      </c>
      <c r="C26" s="52" t="s">
        <v>39</v>
      </c>
      <c r="D26" s="52" t="s">
        <v>70</v>
      </c>
      <c r="E26" s="53"/>
      <c r="F26" s="53" t="s">
        <v>63</v>
      </c>
      <c r="G26" s="54">
        <v>1</v>
      </c>
    </row>
    <row r="27" spans="1:7" ht="14.1">
      <c r="A27" s="52" t="s">
        <v>37</v>
      </c>
      <c r="B27" s="52" t="s">
        <v>73</v>
      </c>
      <c r="C27" s="52" t="s">
        <v>39</v>
      </c>
      <c r="D27" s="52" t="s">
        <v>71</v>
      </c>
      <c r="E27" s="53">
        <v>47</v>
      </c>
      <c r="F27" s="53" t="s">
        <v>59</v>
      </c>
      <c r="G27" s="54">
        <v>17</v>
      </c>
    </row>
    <row r="28" spans="1:7" ht="14.1">
      <c r="A28" s="52" t="s">
        <v>37</v>
      </c>
      <c r="B28" s="52" t="s">
        <v>73</v>
      </c>
      <c r="C28" s="52" t="s">
        <v>39</v>
      </c>
      <c r="D28" s="52" t="s">
        <v>75</v>
      </c>
      <c r="E28" s="53">
        <v>10</v>
      </c>
      <c r="F28" s="53" t="s">
        <v>59</v>
      </c>
      <c r="G28" s="54">
        <v>6</v>
      </c>
    </row>
    <row r="29" spans="1:7" ht="14.1">
      <c r="A29" s="52" t="s">
        <v>37</v>
      </c>
      <c r="B29" s="52" t="s">
        <v>73</v>
      </c>
      <c r="C29" s="52" t="s">
        <v>39</v>
      </c>
      <c r="D29" s="52" t="s">
        <v>72</v>
      </c>
      <c r="E29" s="53">
        <v>189</v>
      </c>
      <c r="F29" s="53" t="s">
        <v>59</v>
      </c>
      <c r="G29" s="54">
        <v>137.1</v>
      </c>
    </row>
    <row r="30" spans="1:7" ht="14.1">
      <c r="A30" s="52" t="s">
        <v>37</v>
      </c>
      <c r="B30" s="52" t="s">
        <v>76</v>
      </c>
      <c r="C30" s="52" t="s">
        <v>39</v>
      </c>
      <c r="D30" s="52" t="s">
        <v>77</v>
      </c>
      <c r="E30" s="53">
        <v>13</v>
      </c>
      <c r="F30" s="53"/>
      <c r="G30" s="54"/>
    </row>
    <row r="31" spans="1:7" ht="14.1">
      <c r="A31" s="52" t="s">
        <v>37</v>
      </c>
      <c r="B31" s="52" t="s">
        <v>76</v>
      </c>
      <c r="C31" s="52" t="s">
        <v>39</v>
      </c>
      <c r="D31" s="52" t="s">
        <v>78</v>
      </c>
      <c r="E31" s="53">
        <v>2</v>
      </c>
      <c r="F31" s="53"/>
      <c r="G31" s="54"/>
    </row>
    <row r="32" spans="1:7" ht="14.1">
      <c r="A32" s="52" t="s">
        <v>37</v>
      </c>
      <c r="B32" s="52" t="s">
        <v>76</v>
      </c>
      <c r="C32" s="52" t="s">
        <v>39</v>
      </c>
      <c r="D32" s="52" t="s">
        <v>79</v>
      </c>
      <c r="E32" s="53">
        <v>90</v>
      </c>
      <c r="F32" s="53" t="s">
        <v>59</v>
      </c>
      <c r="G32" s="54">
        <v>1</v>
      </c>
    </row>
    <row r="33" spans="1:7" ht="14.1">
      <c r="A33" s="52" t="s">
        <v>37</v>
      </c>
      <c r="B33" s="52" t="s">
        <v>80</v>
      </c>
      <c r="C33" s="52" t="s">
        <v>74</v>
      </c>
      <c r="D33" s="52" t="s">
        <v>81</v>
      </c>
      <c r="E33" s="53">
        <v>1</v>
      </c>
      <c r="F33" s="53"/>
      <c r="G33" s="54"/>
    </row>
    <row r="34" spans="1:7" ht="14.1">
      <c r="A34" s="52" t="s">
        <v>37</v>
      </c>
      <c r="B34" s="52" t="s">
        <v>80</v>
      </c>
      <c r="C34" s="52" t="s">
        <v>39</v>
      </c>
      <c r="D34" s="52" t="s">
        <v>82</v>
      </c>
      <c r="E34" s="53">
        <v>4</v>
      </c>
      <c r="F34" s="53"/>
      <c r="G34" s="54"/>
    </row>
    <row r="35" spans="1:7" ht="14.1">
      <c r="A35" s="52" t="s">
        <v>37</v>
      </c>
      <c r="B35" s="52" t="s">
        <v>80</v>
      </c>
      <c r="C35" s="52" t="s">
        <v>39</v>
      </c>
      <c r="D35" s="52" t="s">
        <v>83</v>
      </c>
      <c r="E35" s="53">
        <v>2</v>
      </c>
      <c r="F35" s="53"/>
      <c r="G35" s="54"/>
    </row>
    <row r="36" spans="1:7" ht="14.1">
      <c r="A36" s="52" t="s">
        <v>37</v>
      </c>
      <c r="B36" s="52" t="s">
        <v>80</v>
      </c>
      <c r="C36" s="52" t="s">
        <v>39</v>
      </c>
      <c r="D36" s="52" t="s">
        <v>81</v>
      </c>
      <c r="E36" s="53">
        <v>97</v>
      </c>
      <c r="F36" s="53" t="s">
        <v>59</v>
      </c>
      <c r="G36" s="54">
        <v>14</v>
      </c>
    </row>
    <row r="37" spans="1:7" ht="14.1">
      <c r="A37" s="52" t="s">
        <v>37</v>
      </c>
      <c r="B37" s="52" t="s">
        <v>80</v>
      </c>
      <c r="C37" s="52" t="s">
        <v>39</v>
      </c>
      <c r="D37" s="52" t="s">
        <v>84</v>
      </c>
      <c r="E37" s="53">
        <v>9</v>
      </c>
      <c r="F37" s="53"/>
      <c r="G37" s="54"/>
    </row>
    <row r="38" spans="1:7" ht="14.1">
      <c r="A38" s="52" t="s">
        <v>37</v>
      </c>
      <c r="B38" s="52" t="s">
        <v>85</v>
      </c>
      <c r="C38" s="52" t="s">
        <v>39</v>
      </c>
      <c r="D38" s="52" t="s">
        <v>86</v>
      </c>
      <c r="E38" s="53">
        <v>61</v>
      </c>
      <c r="F38" s="53" t="s">
        <v>63</v>
      </c>
      <c r="G38" s="54">
        <v>4</v>
      </c>
    </row>
    <row r="39" spans="1:7" ht="14.1">
      <c r="A39" s="52" t="s">
        <v>37</v>
      </c>
      <c r="B39" s="52" t="s">
        <v>85</v>
      </c>
      <c r="C39" s="52" t="s">
        <v>39</v>
      </c>
      <c r="D39" s="52" t="s">
        <v>87</v>
      </c>
      <c r="E39" s="53">
        <v>8</v>
      </c>
      <c r="F39" s="53"/>
      <c r="G39" s="54"/>
    </row>
    <row r="40" spans="1:7" ht="14.1">
      <c r="A40" s="52" t="s">
        <v>37</v>
      </c>
      <c r="B40" s="52" t="s">
        <v>88</v>
      </c>
      <c r="C40" s="52" t="s">
        <v>39</v>
      </c>
      <c r="D40" s="52" t="s">
        <v>89</v>
      </c>
      <c r="E40" s="53">
        <v>12</v>
      </c>
      <c r="F40" s="53"/>
      <c r="G40" s="54"/>
    </row>
    <row r="41" spans="1:7" ht="14.1">
      <c r="A41" s="52" t="s">
        <v>37</v>
      </c>
      <c r="B41" s="52" t="s">
        <v>63</v>
      </c>
      <c r="C41" s="52" t="s">
        <v>74</v>
      </c>
      <c r="D41" s="52" t="s">
        <v>53</v>
      </c>
      <c r="E41" s="53">
        <v>3</v>
      </c>
      <c r="F41" s="53" t="s">
        <v>90</v>
      </c>
      <c r="G41" s="54">
        <v>0.5</v>
      </c>
    </row>
    <row r="42" spans="1:7" ht="14.1">
      <c r="A42" s="52" t="s">
        <v>37</v>
      </c>
      <c r="B42" s="52" t="s">
        <v>63</v>
      </c>
      <c r="C42" s="52" t="s">
        <v>74</v>
      </c>
      <c r="D42" s="52" t="s">
        <v>53</v>
      </c>
      <c r="E42" s="53"/>
      <c r="F42" s="53" t="s">
        <v>59</v>
      </c>
      <c r="G42" s="54">
        <v>2.5</v>
      </c>
    </row>
    <row r="43" spans="1:7" ht="14.1">
      <c r="A43" s="52" t="s">
        <v>37</v>
      </c>
      <c r="B43" s="52" t="s">
        <v>63</v>
      </c>
      <c r="C43" s="52" t="s">
        <v>39</v>
      </c>
      <c r="D43" s="52" t="s">
        <v>53</v>
      </c>
      <c r="E43" s="53">
        <v>63</v>
      </c>
      <c r="F43" s="53" t="s">
        <v>91</v>
      </c>
      <c r="G43" s="54">
        <v>4</v>
      </c>
    </row>
    <row r="44" spans="1:7" ht="14.1">
      <c r="A44" s="52" t="s">
        <v>37</v>
      </c>
      <c r="B44" s="52" t="s">
        <v>63</v>
      </c>
      <c r="C44" s="52" t="s">
        <v>39</v>
      </c>
      <c r="D44" s="52" t="s">
        <v>53</v>
      </c>
      <c r="E44" s="53"/>
      <c r="F44" s="53" t="s">
        <v>90</v>
      </c>
      <c r="G44" s="54">
        <v>1.3</v>
      </c>
    </row>
    <row r="45" spans="1:7" ht="14.1">
      <c r="A45" s="52" t="s">
        <v>37</v>
      </c>
      <c r="B45" s="52" t="s">
        <v>63</v>
      </c>
      <c r="C45" s="52" t="s">
        <v>39</v>
      </c>
      <c r="D45" s="52" t="s">
        <v>54</v>
      </c>
      <c r="E45" s="53">
        <v>10</v>
      </c>
      <c r="F45" s="53"/>
      <c r="G45" s="54"/>
    </row>
    <row r="46" spans="1:7" ht="14.1">
      <c r="A46" s="52" t="s">
        <v>37</v>
      </c>
      <c r="B46" s="52" t="s">
        <v>92</v>
      </c>
      <c r="C46" s="52" t="s">
        <v>74</v>
      </c>
      <c r="D46" s="52" t="s">
        <v>93</v>
      </c>
      <c r="E46" s="53">
        <v>1</v>
      </c>
      <c r="F46" s="53" t="s">
        <v>59</v>
      </c>
      <c r="G46" s="54">
        <v>1</v>
      </c>
    </row>
    <row r="47" spans="1:7" ht="14.1">
      <c r="A47" s="52" t="s">
        <v>37</v>
      </c>
      <c r="B47" s="52" t="s">
        <v>92</v>
      </c>
      <c r="C47" s="52" t="s">
        <v>39</v>
      </c>
      <c r="D47" s="52" t="s">
        <v>93</v>
      </c>
      <c r="E47" s="53">
        <v>90</v>
      </c>
      <c r="F47" s="53" t="s">
        <v>94</v>
      </c>
      <c r="G47" s="54">
        <v>0.3</v>
      </c>
    </row>
    <row r="48" spans="1:7" ht="14.1">
      <c r="A48" s="52" t="s">
        <v>37</v>
      </c>
      <c r="B48" s="52" t="s">
        <v>92</v>
      </c>
      <c r="C48" s="52" t="s">
        <v>39</v>
      </c>
      <c r="D48" s="52" t="s">
        <v>93</v>
      </c>
      <c r="E48" s="53"/>
      <c r="F48" s="53" t="s">
        <v>59</v>
      </c>
      <c r="G48" s="54">
        <v>2</v>
      </c>
    </row>
    <row r="49" spans="1:7" ht="14.1">
      <c r="A49" s="52" t="s">
        <v>37</v>
      </c>
      <c r="B49" s="52" t="s">
        <v>95</v>
      </c>
      <c r="C49" s="52" t="s">
        <v>39</v>
      </c>
      <c r="D49" s="52" t="s">
        <v>44</v>
      </c>
      <c r="E49" s="53">
        <v>48</v>
      </c>
      <c r="F49" s="53"/>
      <c r="G49" s="54"/>
    </row>
    <row r="50" spans="1:7" ht="14.1">
      <c r="A50" s="52" t="s">
        <v>37</v>
      </c>
      <c r="B50" s="52" t="s">
        <v>96</v>
      </c>
      <c r="C50" s="52" t="s">
        <v>39</v>
      </c>
      <c r="D50" s="52" t="s">
        <v>48</v>
      </c>
      <c r="E50" s="53">
        <v>6</v>
      </c>
      <c r="F50" s="53"/>
      <c r="G50" s="54"/>
    </row>
    <row r="51" spans="1:7" ht="14.1">
      <c r="A51" s="52" t="s">
        <v>37</v>
      </c>
      <c r="B51" s="52" t="s">
        <v>96</v>
      </c>
      <c r="C51" s="52" t="s">
        <v>52</v>
      </c>
      <c r="D51" s="52" t="s">
        <v>48</v>
      </c>
      <c r="E51" s="53">
        <v>2</v>
      </c>
      <c r="F51" s="53" t="s">
        <v>61</v>
      </c>
      <c r="G51" s="54">
        <v>2</v>
      </c>
    </row>
    <row r="52" spans="1:7" ht="14.1">
      <c r="A52" s="52" t="s">
        <v>37</v>
      </c>
      <c r="B52" s="52" t="s">
        <v>97</v>
      </c>
      <c r="C52" s="52" t="s">
        <v>39</v>
      </c>
      <c r="D52" s="52" t="s">
        <v>50</v>
      </c>
      <c r="E52" s="53">
        <v>20</v>
      </c>
      <c r="F52" s="53"/>
      <c r="G52" s="54"/>
    </row>
    <row r="53" spans="1:7" ht="14.1">
      <c r="A53" s="52" t="s">
        <v>37</v>
      </c>
      <c r="B53" s="52" t="s">
        <v>97</v>
      </c>
      <c r="C53" s="52" t="s">
        <v>52</v>
      </c>
      <c r="D53" s="52" t="s">
        <v>50</v>
      </c>
      <c r="E53" s="53">
        <v>3</v>
      </c>
      <c r="F53" s="53" t="s">
        <v>59</v>
      </c>
      <c r="G53" s="54">
        <v>3</v>
      </c>
    </row>
    <row r="54" spans="1:7" ht="14.1">
      <c r="A54" s="52" t="s">
        <v>37</v>
      </c>
      <c r="B54" s="52" t="s">
        <v>98</v>
      </c>
      <c r="C54" s="52" t="s">
        <v>99</v>
      </c>
      <c r="D54" s="52" t="s">
        <v>100</v>
      </c>
      <c r="E54" s="53">
        <v>105</v>
      </c>
      <c r="F54" s="53"/>
      <c r="G54" s="54"/>
    </row>
    <row r="55" spans="1:7" ht="14.1">
      <c r="A55" s="52" t="s">
        <v>37</v>
      </c>
      <c r="B55" s="52" t="s">
        <v>101</v>
      </c>
      <c r="C55" s="52" t="s">
        <v>39</v>
      </c>
      <c r="D55" s="52" t="s">
        <v>102</v>
      </c>
      <c r="E55" s="53">
        <v>12</v>
      </c>
      <c r="F55" s="53"/>
      <c r="G55" s="54"/>
    </row>
    <row r="56" spans="1:7" ht="14.1">
      <c r="A56" s="52" t="s">
        <v>37</v>
      </c>
      <c r="B56" s="52" t="s">
        <v>103</v>
      </c>
      <c r="C56" s="52" t="s">
        <v>39</v>
      </c>
      <c r="D56" s="52" t="s">
        <v>104</v>
      </c>
      <c r="E56" s="53">
        <v>30</v>
      </c>
      <c r="F56" s="53"/>
      <c r="G56" s="54"/>
    </row>
    <row r="57" spans="1:7" ht="14.1">
      <c r="A57" s="52" t="s">
        <v>37</v>
      </c>
      <c r="B57" s="52" t="s">
        <v>103</v>
      </c>
      <c r="C57" s="52" t="s">
        <v>39</v>
      </c>
      <c r="D57" s="52" t="s">
        <v>105</v>
      </c>
      <c r="E57" s="53">
        <v>2</v>
      </c>
      <c r="F57" s="53"/>
      <c r="G57" s="54"/>
    </row>
    <row r="58" spans="1:7" ht="14.1">
      <c r="A58" s="52" t="s">
        <v>37</v>
      </c>
      <c r="B58" s="52" t="s">
        <v>106</v>
      </c>
      <c r="C58" s="52" t="s">
        <v>39</v>
      </c>
      <c r="D58" s="52" t="s">
        <v>86</v>
      </c>
      <c r="E58" s="53">
        <v>11</v>
      </c>
      <c r="F58" s="53"/>
      <c r="G58" s="54"/>
    </row>
    <row r="59" spans="1:7" ht="14.1">
      <c r="A59" s="52" t="s">
        <v>37</v>
      </c>
      <c r="B59" s="52" t="s">
        <v>107</v>
      </c>
      <c r="C59" s="52" t="s">
        <v>74</v>
      </c>
      <c r="D59" s="52" t="s">
        <v>48</v>
      </c>
      <c r="E59" s="53">
        <v>8</v>
      </c>
      <c r="F59" s="53"/>
      <c r="G59" s="54"/>
    </row>
    <row r="60" spans="1:7" ht="14.1">
      <c r="A60" s="52" t="s">
        <v>108</v>
      </c>
      <c r="B60" s="52" t="s">
        <v>109</v>
      </c>
      <c r="C60" s="52" t="s">
        <v>110</v>
      </c>
      <c r="D60" s="52" t="s">
        <v>111</v>
      </c>
      <c r="E60" s="53">
        <v>52</v>
      </c>
      <c r="F60" s="53"/>
      <c r="G60" s="54"/>
    </row>
    <row r="61" spans="1:7" ht="14.1">
      <c r="A61" s="52" t="s">
        <v>108</v>
      </c>
      <c r="B61" s="52" t="s">
        <v>112</v>
      </c>
      <c r="C61" s="52" t="s">
        <v>110</v>
      </c>
      <c r="D61" s="52" t="s">
        <v>113</v>
      </c>
      <c r="E61" s="53">
        <v>4</v>
      </c>
      <c r="F61" s="53"/>
      <c r="G61" s="54"/>
    </row>
    <row r="62" spans="1:7" ht="14.1">
      <c r="A62" s="52" t="s">
        <v>108</v>
      </c>
      <c r="B62" s="52" t="s">
        <v>112</v>
      </c>
      <c r="C62" s="52" t="s">
        <v>110</v>
      </c>
      <c r="D62" s="52" t="s">
        <v>114</v>
      </c>
      <c r="E62" s="53">
        <v>92</v>
      </c>
      <c r="F62" s="53"/>
      <c r="G62" s="54"/>
    </row>
    <row r="63" spans="1:7" ht="14.1">
      <c r="A63" s="52" t="s">
        <v>108</v>
      </c>
      <c r="B63" s="52" t="s">
        <v>112</v>
      </c>
      <c r="C63" s="52" t="s">
        <v>110</v>
      </c>
      <c r="D63" s="52" t="s">
        <v>115</v>
      </c>
      <c r="E63" s="53">
        <v>198</v>
      </c>
      <c r="F63" s="53"/>
      <c r="G63" s="54"/>
    </row>
    <row r="64" spans="1:7" ht="14.1">
      <c r="A64" s="52" t="s">
        <v>108</v>
      </c>
      <c r="B64" s="52" t="s">
        <v>116</v>
      </c>
      <c r="C64" s="52" t="s">
        <v>117</v>
      </c>
      <c r="D64" s="52" t="s">
        <v>118</v>
      </c>
      <c r="E64" s="53">
        <v>24</v>
      </c>
      <c r="F64" s="53"/>
      <c r="G64" s="54"/>
    </row>
    <row r="65" spans="1:7" ht="14.1">
      <c r="A65" s="52" t="s">
        <v>108</v>
      </c>
      <c r="B65" s="52" t="s">
        <v>116</v>
      </c>
      <c r="C65" s="52" t="s">
        <v>117</v>
      </c>
      <c r="D65" s="52" t="s">
        <v>119</v>
      </c>
      <c r="E65" s="53">
        <v>22</v>
      </c>
      <c r="F65" s="53"/>
      <c r="G65" s="54"/>
    </row>
    <row r="66" spans="1:7" ht="14.1">
      <c r="A66" s="52" t="s">
        <v>108</v>
      </c>
      <c r="B66" s="52" t="s">
        <v>116</v>
      </c>
      <c r="C66" s="52" t="s">
        <v>117</v>
      </c>
      <c r="D66" s="52" t="s">
        <v>120</v>
      </c>
      <c r="E66" s="53">
        <v>358</v>
      </c>
      <c r="F66" s="53" t="s">
        <v>121</v>
      </c>
      <c r="G66" s="54">
        <v>1</v>
      </c>
    </row>
    <row r="67" spans="1:7" ht="14.1">
      <c r="A67" s="52" t="s">
        <v>108</v>
      </c>
      <c r="B67" s="52" t="s">
        <v>116</v>
      </c>
      <c r="C67" s="52" t="s">
        <v>117</v>
      </c>
      <c r="D67" s="52" t="s">
        <v>120</v>
      </c>
      <c r="E67" s="53"/>
      <c r="F67" s="53" t="s">
        <v>122</v>
      </c>
      <c r="G67" s="54">
        <v>2</v>
      </c>
    </row>
    <row r="68" spans="1:7" ht="14.1">
      <c r="A68" s="52" t="s">
        <v>108</v>
      </c>
      <c r="B68" s="52" t="s">
        <v>123</v>
      </c>
      <c r="C68" s="52" t="s">
        <v>39</v>
      </c>
      <c r="D68" s="52" t="s">
        <v>124</v>
      </c>
      <c r="E68" s="53">
        <v>52</v>
      </c>
      <c r="F68" s="53" t="s">
        <v>125</v>
      </c>
      <c r="G68" s="54">
        <v>1.9</v>
      </c>
    </row>
    <row r="69" spans="1:7" ht="14.1">
      <c r="A69" s="52" t="s">
        <v>108</v>
      </c>
      <c r="B69" s="52" t="s">
        <v>123</v>
      </c>
      <c r="C69" s="52" t="s">
        <v>39</v>
      </c>
      <c r="D69" s="52" t="s">
        <v>124</v>
      </c>
      <c r="E69" s="53"/>
      <c r="F69" s="53" t="s">
        <v>59</v>
      </c>
      <c r="G69" s="54">
        <v>1</v>
      </c>
    </row>
    <row r="70" spans="1:7" ht="14.1">
      <c r="A70" s="52" t="s">
        <v>108</v>
      </c>
      <c r="B70" s="52" t="s">
        <v>123</v>
      </c>
      <c r="C70" s="52" t="s">
        <v>110</v>
      </c>
      <c r="D70" s="52" t="s">
        <v>124</v>
      </c>
      <c r="E70" s="53">
        <v>1</v>
      </c>
      <c r="F70" s="53" t="s">
        <v>59</v>
      </c>
      <c r="G70" s="54">
        <v>1</v>
      </c>
    </row>
    <row r="71" spans="1:7" ht="14.1">
      <c r="A71" s="52" t="s">
        <v>108</v>
      </c>
      <c r="B71" s="52" t="s">
        <v>122</v>
      </c>
      <c r="C71" s="52" t="s">
        <v>117</v>
      </c>
      <c r="D71" s="52" t="s">
        <v>113</v>
      </c>
      <c r="E71" s="53">
        <v>40</v>
      </c>
      <c r="F71" s="53"/>
      <c r="G71" s="54"/>
    </row>
    <row r="72" spans="1:7" ht="14.1">
      <c r="A72" s="52" t="s">
        <v>108</v>
      </c>
      <c r="B72" s="52" t="s">
        <v>122</v>
      </c>
      <c r="C72" s="52" t="s">
        <v>117</v>
      </c>
      <c r="D72" s="52" t="s">
        <v>126</v>
      </c>
      <c r="E72" s="53">
        <v>28</v>
      </c>
      <c r="F72" s="53"/>
      <c r="G72" s="54"/>
    </row>
    <row r="73" spans="1:7" ht="14.1">
      <c r="A73" s="52" t="s">
        <v>108</v>
      </c>
      <c r="B73" s="52" t="s">
        <v>122</v>
      </c>
      <c r="C73" s="52" t="s">
        <v>117</v>
      </c>
      <c r="D73" s="52" t="s">
        <v>127</v>
      </c>
      <c r="E73" s="53">
        <v>2</v>
      </c>
      <c r="F73" s="53"/>
      <c r="G73" s="54"/>
    </row>
    <row r="74" spans="1:7" ht="14.1">
      <c r="A74" s="52" t="s">
        <v>108</v>
      </c>
      <c r="B74" s="52" t="s">
        <v>128</v>
      </c>
      <c r="C74" s="52" t="s">
        <v>39</v>
      </c>
      <c r="D74" s="52" t="s">
        <v>129</v>
      </c>
      <c r="E74" s="53">
        <v>14</v>
      </c>
      <c r="F74" s="53" t="s">
        <v>130</v>
      </c>
      <c r="G74" s="54">
        <v>1</v>
      </c>
    </row>
    <row r="75" spans="1:7" ht="14.1">
      <c r="A75" s="52" t="s">
        <v>108</v>
      </c>
      <c r="B75" s="52" t="s">
        <v>128</v>
      </c>
      <c r="C75" s="52" t="s">
        <v>39</v>
      </c>
      <c r="D75" s="52" t="s">
        <v>131</v>
      </c>
      <c r="E75" s="53">
        <v>3</v>
      </c>
      <c r="F75" s="53" t="s">
        <v>132</v>
      </c>
      <c r="G75" s="54">
        <v>2</v>
      </c>
    </row>
    <row r="76" spans="1:7" ht="14.1">
      <c r="A76" s="52" t="s">
        <v>108</v>
      </c>
      <c r="B76" s="52" t="s">
        <v>128</v>
      </c>
      <c r="C76" s="52" t="s">
        <v>39</v>
      </c>
      <c r="D76" s="52" t="s">
        <v>133</v>
      </c>
      <c r="E76" s="53">
        <v>1</v>
      </c>
      <c r="F76" s="53" t="s">
        <v>134</v>
      </c>
      <c r="G76" s="54">
        <v>1</v>
      </c>
    </row>
    <row r="77" spans="1:7" ht="14.1">
      <c r="A77" s="52" t="s">
        <v>108</v>
      </c>
      <c r="B77" s="52" t="s">
        <v>128</v>
      </c>
      <c r="C77" s="52" t="s">
        <v>39</v>
      </c>
      <c r="D77" s="52" t="s">
        <v>135</v>
      </c>
      <c r="E77" s="53">
        <v>2</v>
      </c>
      <c r="F77" s="53" t="s">
        <v>136</v>
      </c>
      <c r="G77" s="54">
        <v>2</v>
      </c>
    </row>
    <row r="78" spans="1:7" ht="14.1">
      <c r="A78" s="52" t="s">
        <v>108</v>
      </c>
      <c r="B78" s="52" t="s">
        <v>128</v>
      </c>
      <c r="C78" s="52" t="s">
        <v>110</v>
      </c>
      <c r="D78" s="52" t="s">
        <v>137</v>
      </c>
      <c r="E78" s="53">
        <v>23</v>
      </c>
      <c r="F78" s="53" t="s">
        <v>59</v>
      </c>
      <c r="G78" s="54">
        <v>19</v>
      </c>
    </row>
    <row r="79" spans="1:7" ht="14.1">
      <c r="A79" s="52" t="s">
        <v>108</v>
      </c>
      <c r="B79" s="52" t="s">
        <v>138</v>
      </c>
      <c r="C79" s="52" t="s">
        <v>74</v>
      </c>
      <c r="D79" s="52" t="s">
        <v>139</v>
      </c>
      <c r="E79" s="53">
        <v>3</v>
      </c>
      <c r="F79" s="53" t="s">
        <v>121</v>
      </c>
      <c r="G79" s="54">
        <v>2</v>
      </c>
    </row>
    <row r="80" spans="1:7" ht="14.1">
      <c r="A80" s="52" t="s">
        <v>108</v>
      </c>
      <c r="B80" s="52" t="s">
        <v>138</v>
      </c>
      <c r="C80" s="52" t="s">
        <v>74</v>
      </c>
      <c r="D80" s="52" t="s">
        <v>139</v>
      </c>
      <c r="E80" s="53"/>
      <c r="F80" s="53" t="s">
        <v>59</v>
      </c>
      <c r="G80" s="54">
        <v>1</v>
      </c>
    </row>
    <row r="81" spans="1:7" ht="14.1">
      <c r="A81" s="52" t="s">
        <v>108</v>
      </c>
      <c r="B81" s="52" t="s">
        <v>138</v>
      </c>
      <c r="C81" s="52" t="s">
        <v>140</v>
      </c>
      <c r="D81" s="52" t="s">
        <v>139</v>
      </c>
      <c r="E81" s="53">
        <v>1</v>
      </c>
      <c r="F81" s="53" t="s">
        <v>59</v>
      </c>
      <c r="G81" s="54">
        <v>1</v>
      </c>
    </row>
    <row r="82" spans="1:7" ht="14.1">
      <c r="A82" s="52" t="s">
        <v>108</v>
      </c>
      <c r="B82" s="52" t="s">
        <v>138</v>
      </c>
      <c r="C82" s="52" t="s">
        <v>39</v>
      </c>
      <c r="D82" s="52" t="s">
        <v>139</v>
      </c>
      <c r="E82" s="53">
        <v>120</v>
      </c>
      <c r="F82" s="53" t="s">
        <v>125</v>
      </c>
      <c r="G82" s="54">
        <v>1</v>
      </c>
    </row>
    <row r="83" spans="1:7" ht="14.1">
      <c r="A83" s="52" t="s">
        <v>108</v>
      </c>
      <c r="B83" s="52" t="s">
        <v>138</v>
      </c>
      <c r="C83" s="52" t="s">
        <v>39</v>
      </c>
      <c r="D83" s="52" t="s">
        <v>139</v>
      </c>
      <c r="E83" s="53"/>
      <c r="F83" s="53" t="s">
        <v>121</v>
      </c>
      <c r="G83" s="54">
        <v>5.2</v>
      </c>
    </row>
    <row r="84" spans="1:7" ht="14.1">
      <c r="A84" s="52" t="s">
        <v>108</v>
      </c>
      <c r="B84" s="52" t="s">
        <v>138</v>
      </c>
      <c r="C84" s="52" t="s">
        <v>39</v>
      </c>
      <c r="D84" s="52" t="s">
        <v>139</v>
      </c>
      <c r="E84" s="53"/>
      <c r="F84" s="53" t="s">
        <v>59</v>
      </c>
      <c r="G84" s="54">
        <v>11</v>
      </c>
    </row>
    <row r="85" spans="1:7" ht="14.1">
      <c r="A85" s="52" t="s">
        <v>108</v>
      </c>
      <c r="B85" s="52" t="s">
        <v>138</v>
      </c>
      <c r="C85" s="52" t="s">
        <v>39</v>
      </c>
      <c r="D85" s="52" t="s">
        <v>139</v>
      </c>
      <c r="E85" s="53"/>
      <c r="F85" s="53" t="s">
        <v>141</v>
      </c>
      <c r="G85" s="54">
        <v>0.7</v>
      </c>
    </row>
    <row r="86" spans="1:7" ht="14.1">
      <c r="A86" s="52" t="s">
        <v>108</v>
      </c>
      <c r="B86" s="52" t="s">
        <v>138</v>
      </c>
      <c r="C86" s="52" t="s">
        <v>110</v>
      </c>
      <c r="D86" s="52" t="s">
        <v>139</v>
      </c>
      <c r="E86" s="53">
        <v>2</v>
      </c>
      <c r="F86" s="53" t="s">
        <v>59</v>
      </c>
      <c r="G86" s="54">
        <v>2</v>
      </c>
    </row>
    <row r="87" spans="1:7" ht="14.1">
      <c r="A87" s="52" t="s">
        <v>108</v>
      </c>
      <c r="B87" s="52" t="s">
        <v>142</v>
      </c>
      <c r="C87" s="52" t="s">
        <v>74</v>
      </c>
      <c r="D87" s="52" t="s">
        <v>143</v>
      </c>
      <c r="E87" s="53">
        <v>1</v>
      </c>
      <c r="F87" s="53"/>
      <c r="G87" s="54"/>
    </row>
    <row r="88" spans="1:7" ht="14.1">
      <c r="A88" s="52" t="s">
        <v>108</v>
      </c>
      <c r="B88" s="52" t="s">
        <v>142</v>
      </c>
      <c r="C88" s="52" t="s">
        <v>74</v>
      </c>
      <c r="D88" s="52" t="s">
        <v>144</v>
      </c>
      <c r="E88" s="53">
        <v>1</v>
      </c>
      <c r="F88" s="53" t="s">
        <v>145</v>
      </c>
      <c r="G88" s="54">
        <v>1</v>
      </c>
    </row>
    <row r="89" spans="1:7" ht="14.1">
      <c r="A89" s="52" t="s">
        <v>108</v>
      </c>
      <c r="B89" s="52" t="s">
        <v>142</v>
      </c>
      <c r="C89" s="52" t="s">
        <v>39</v>
      </c>
      <c r="D89" s="52" t="s">
        <v>143</v>
      </c>
      <c r="E89" s="53">
        <v>7</v>
      </c>
      <c r="F89" s="53"/>
      <c r="G89" s="54"/>
    </row>
    <row r="90" spans="1:7" ht="14.1">
      <c r="A90" s="52" t="s">
        <v>108</v>
      </c>
      <c r="B90" s="52" t="s">
        <v>142</v>
      </c>
      <c r="C90" s="52" t="s">
        <v>39</v>
      </c>
      <c r="D90" s="52" t="s">
        <v>144</v>
      </c>
      <c r="E90" s="53">
        <v>15</v>
      </c>
      <c r="F90" s="53"/>
      <c r="G90" s="54"/>
    </row>
    <row r="91" spans="1:7" ht="14.1">
      <c r="A91" s="52" t="s">
        <v>108</v>
      </c>
      <c r="B91" s="52" t="s">
        <v>146</v>
      </c>
      <c r="C91" s="52" t="s">
        <v>74</v>
      </c>
      <c r="D91" s="52" t="s">
        <v>147</v>
      </c>
      <c r="E91" s="53">
        <v>2</v>
      </c>
      <c r="F91" s="53" t="s">
        <v>59</v>
      </c>
      <c r="G91" s="54">
        <v>2</v>
      </c>
    </row>
    <row r="92" spans="1:7" ht="14.1">
      <c r="A92" s="52" t="s">
        <v>108</v>
      </c>
      <c r="B92" s="52" t="s">
        <v>146</v>
      </c>
      <c r="C92" s="52" t="s">
        <v>117</v>
      </c>
      <c r="D92" s="52" t="s">
        <v>147</v>
      </c>
      <c r="E92" s="53">
        <v>1</v>
      </c>
      <c r="F92" s="53" t="s">
        <v>116</v>
      </c>
      <c r="G92" s="54">
        <v>1</v>
      </c>
    </row>
    <row r="93" spans="1:7" ht="14.1">
      <c r="A93" s="52" t="s">
        <v>108</v>
      </c>
      <c r="B93" s="52" t="s">
        <v>146</v>
      </c>
      <c r="C93" s="52" t="s">
        <v>39</v>
      </c>
      <c r="D93" s="52" t="s">
        <v>147</v>
      </c>
      <c r="E93" s="53">
        <v>81</v>
      </c>
      <c r="F93" s="53" t="s">
        <v>125</v>
      </c>
      <c r="G93" s="54">
        <v>1</v>
      </c>
    </row>
    <row r="94" spans="1:7" ht="14.1">
      <c r="A94" s="52" t="s">
        <v>108</v>
      </c>
      <c r="B94" s="52" t="s">
        <v>146</v>
      </c>
      <c r="C94" s="52" t="s">
        <v>39</v>
      </c>
      <c r="D94" s="52" t="s">
        <v>147</v>
      </c>
      <c r="E94" s="53"/>
      <c r="F94" s="53" t="s">
        <v>123</v>
      </c>
      <c r="G94" s="54">
        <v>0.30000000000000004</v>
      </c>
    </row>
    <row r="95" spans="1:7" ht="14.1">
      <c r="A95" s="52" t="s">
        <v>108</v>
      </c>
      <c r="B95" s="52" t="s">
        <v>146</v>
      </c>
      <c r="C95" s="52" t="s">
        <v>39</v>
      </c>
      <c r="D95" s="52" t="s">
        <v>147</v>
      </c>
      <c r="E95" s="53"/>
      <c r="F95" s="53" t="s">
        <v>59</v>
      </c>
      <c r="G95" s="54">
        <v>1</v>
      </c>
    </row>
    <row r="96" spans="1:7" ht="14.1">
      <c r="A96" s="52" t="s">
        <v>108</v>
      </c>
      <c r="B96" s="52" t="s">
        <v>146</v>
      </c>
      <c r="C96" s="52" t="s">
        <v>39</v>
      </c>
      <c r="D96" s="52" t="s">
        <v>147</v>
      </c>
      <c r="E96" s="53"/>
      <c r="F96" s="53" t="s">
        <v>148</v>
      </c>
      <c r="G96" s="54">
        <v>0.3</v>
      </c>
    </row>
    <row r="97" spans="1:7" ht="14.1">
      <c r="A97" s="52" t="s">
        <v>108</v>
      </c>
      <c r="B97" s="52" t="s">
        <v>149</v>
      </c>
      <c r="C97" s="52" t="s">
        <v>150</v>
      </c>
      <c r="D97" s="52" t="s">
        <v>115</v>
      </c>
      <c r="E97" s="53">
        <v>31</v>
      </c>
      <c r="F97" s="53"/>
      <c r="G97" s="54"/>
    </row>
    <row r="98" spans="1:7" ht="14.1">
      <c r="A98" s="52" t="s">
        <v>108</v>
      </c>
      <c r="B98" s="52" t="s">
        <v>149</v>
      </c>
      <c r="C98" s="52" t="s">
        <v>99</v>
      </c>
      <c r="D98" s="52" t="s">
        <v>115</v>
      </c>
      <c r="E98" s="53">
        <v>2</v>
      </c>
      <c r="F98" s="53"/>
      <c r="G98" s="54"/>
    </row>
    <row r="99" spans="1:7" ht="14.1">
      <c r="A99" s="52" t="s">
        <v>108</v>
      </c>
      <c r="B99" s="52" t="s">
        <v>149</v>
      </c>
      <c r="C99" s="52" t="s">
        <v>39</v>
      </c>
      <c r="D99" s="52" t="s">
        <v>115</v>
      </c>
      <c r="E99" s="53">
        <v>1</v>
      </c>
      <c r="F99" s="53" t="s">
        <v>121</v>
      </c>
      <c r="G99" s="54">
        <v>1</v>
      </c>
    </row>
    <row r="100" spans="1:7" ht="14.1">
      <c r="A100" s="52" t="s">
        <v>108</v>
      </c>
      <c r="B100" s="52" t="s">
        <v>149</v>
      </c>
      <c r="C100" s="52" t="s">
        <v>151</v>
      </c>
      <c r="D100" s="52" t="s">
        <v>115</v>
      </c>
      <c r="E100" s="53">
        <v>27</v>
      </c>
      <c r="F100" s="53"/>
      <c r="G100" s="54"/>
    </row>
    <row r="101" spans="1:7" ht="14.1">
      <c r="A101" s="52" t="s">
        <v>108</v>
      </c>
      <c r="B101" s="52" t="s">
        <v>149</v>
      </c>
      <c r="C101" s="52" t="s">
        <v>110</v>
      </c>
      <c r="D101" s="52" t="s">
        <v>115</v>
      </c>
      <c r="E101" s="53">
        <v>2</v>
      </c>
      <c r="F101" s="53"/>
      <c r="G101" s="54"/>
    </row>
    <row r="102" spans="1:7" ht="14.1">
      <c r="A102" s="52" t="s">
        <v>108</v>
      </c>
      <c r="B102" s="52" t="s">
        <v>152</v>
      </c>
      <c r="C102" s="52" t="s">
        <v>39</v>
      </c>
      <c r="D102" s="52" t="s">
        <v>153</v>
      </c>
      <c r="E102" s="53">
        <v>4</v>
      </c>
      <c r="F102" s="53" t="s">
        <v>138</v>
      </c>
      <c r="G102" s="54">
        <v>1</v>
      </c>
    </row>
    <row r="103" spans="1:7" ht="14.1">
      <c r="A103" s="52" t="s">
        <v>108</v>
      </c>
      <c r="B103" s="52" t="s">
        <v>154</v>
      </c>
      <c r="C103" s="52" t="s">
        <v>39</v>
      </c>
      <c r="D103" s="52" t="s">
        <v>155</v>
      </c>
      <c r="E103" s="53">
        <v>35</v>
      </c>
      <c r="F103" s="53"/>
      <c r="G103" s="54"/>
    </row>
    <row r="104" spans="1:7" ht="14.1">
      <c r="A104" s="52" t="s">
        <v>108</v>
      </c>
      <c r="B104" s="52" t="s">
        <v>156</v>
      </c>
      <c r="C104" s="52" t="s">
        <v>157</v>
      </c>
      <c r="D104" s="52" t="s">
        <v>127</v>
      </c>
      <c r="E104" s="53">
        <v>68</v>
      </c>
      <c r="F104" s="53"/>
      <c r="G104" s="54"/>
    </row>
    <row r="105" spans="1:7" ht="14.1">
      <c r="A105" s="52" t="s">
        <v>108</v>
      </c>
      <c r="B105" s="52" t="s">
        <v>158</v>
      </c>
      <c r="C105" s="52" t="s">
        <v>110</v>
      </c>
      <c r="D105" s="52" t="s">
        <v>159</v>
      </c>
      <c r="E105" s="53">
        <v>34</v>
      </c>
      <c r="F105" s="53"/>
      <c r="G105" s="54"/>
    </row>
    <row r="106" spans="1:7" ht="14.1">
      <c r="A106" s="52" t="s">
        <v>108</v>
      </c>
      <c r="B106" s="52" t="s">
        <v>145</v>
      </c>
      <c r="C106" s="52" t="s">
        <v>74</v>
      </c>
      <c r="D106" s="52" t="s">
        <v>127</v>
      </c>
      <c r="E106" s="53">
        <v>55</v>
      </c>
      <c r="F106" s="53"/>
      <c r="G106" s="54"/>
    </row>
    <row r="107" spans="1:7" ht="14.1">
      <c r="A107" s="52" t="s">
        <v>108</v>
      </c>
      <c r="B107" s="52" t="s">
        <v>145</v>
      </c>
      <c r="C107" s="52" t="s">
        <v>39</v>
      </c>
      <c r="D107" s="52" t="s">
        <v>160</v>
      </c>
      <c r="E107" s="53">
        <v>4</v>
      </c>
      <c r="F107" s="53" t="s">
        <v>161</v>
      </c>
      <c r="G107" s="54">
        <v>3.4</v>
      </c>
    </row>
    <row r="108" spans="1:7" ht="14.1">
      <c r="A108" s="52" t="s">
        <v>108</v>
      </c>
      <c r="B108" s="52" t="s">
        <v>145</v>
      </c>
      <c r="C108" s="52" t="s">
        <v>39</v>
      </c>
      <c r="D108" s="52" t="s">
        <v>162</v>
      </c>
      <c r="E108" s="53">
        <v>2</v>
      </c>
      <c r="F108" s="53" t="s">
        <v>125</v>
      </c>
      <c r="G108" s="54">
        <v>2</v>
      </c>
    </row>
    <row r="109" spans="1:7" ht="14.1">
      <c r="A109" s="52" t="s">
        <v>108</v>
      </c>
      <c r="B109" s="52" t="s">
        <v>145</v>
      </c>
      <c r="C109" s="52" t="s">
        <v>39</v>
      </c>
      <c r="D109" s="52" t="s">
        <v>127</v>
      </c>
      <c r="E109" s="53">
        <v>80</v>
      </c>
      <c r="F109" s="53" t="s">
        <v>91</v>
      </c>
      <c r="G109" s="54">
        <v>7</v>
      </c>
    </row>
    <row r="110" spans="1:7" ht="14.1">
      <c r="A110" s="52" t="s">
        <v>108</v>
      </c>
      <c r="B110" s="52" t="s">
        <v>145</v>
      </c>
      <c r="C110" s="52" t="s">
        <v>39</v>
      </c>
      <c r="D110" s="52" t="s">
        <v>127</v>
      </c>
      <c r="E110" s="53"/>
      <c r="F110" s="53" t="s">
        <v>125</v>
      </c>
      <c r="G110" s="54">
        <v>24.4</v>
      </c>
    </row>
    <row r="111" spans="1:7" ht="14.1">
      <c r="A111" s="52" t="s">
        <v>108</v>
      </c>
      <c r="B111" s="52" t="s">
        <v>145</v>
      </c>
      <c r="C111" s="52" t="s">
        <v>39</v>
      </c>
      <c r="D111" s="52" t="s">
        <v>127</v>
      </c>
      <c r="E111" s="53"/>
      <c r="F111" s="53" t="s">
        <v>163</v>
      </c>
      <c r="G111" s="54">
        <v>2</v>
      </c>
    </row>
    <row r="112" spans="1:7" ht="14.1">
      <c r="A112" s="52" t="s">
        <v>108</v>
      </c>
      <c r="B112" s="52" t="s">
        <v>145</v>
      </c>
      <c r="C112" s="52" t="s">
        <v>39</v>
      </c>
      <c r="D112" s="52" t="s">
        <v>127</v>
      </c>
      <c r="E112" s="53"/>
      <c r="F112" s="53" t="s">
        <v>164</v>
      </c>
      <c r="G112" s="54">
        <v>6.5</v>
      </c>
    </row>
    <row r="113" spans="1:7" ht="14.1">
      <c r="A113" s="52" t="s">
        <v>108</v>
      </c>
      <c r="B113" s="52" t="s">
        <v>145</v>
      </c>
      <c r="C113" s="52" t="s">
        <v>39</v>
      </c>
      <c r="D113" s="52" t="s">
        <v>127</v>
      </c>
      <c r="E113" s="53"/>
      <c r="F113" s="53" t="s">
        <v>121</v>
      </c>
      <c r="G113" s="54">
        <v>26.499999999999996</v>
      </c>
    </row>
    <row r="114" spans="1:7" ht="14.1">
      <c r="A114" s="52" t="s">
        <v>108</v>
      </c>
      <c r="B114" s="52" t="s">
        <v>145</v>
      </c>
      <c r="C114" s="52" t="s">
        <v>39</v>
      </c>
      <c r="D114" s="52" t="s">
        <v>127</v>
      </c>
      <c r="E114" s="53"/>
      <c r="F114" s="53" t="s">
        <v>165</v>
      </c>
      <c r="G114" s="54">
        <v>5.5</v>
      </c>
    </row>
    <row r="115" spans="1:7" ht="14.1">
      <c r="A115" s="52" t="s">
        <v>108</v>
      </c>
      <c r="B115" s="52" t="s">
        <v>145</v>
      </c>
      <c r="C115" s="52" t="s">
        <v>39</v>
      </c>
      <c r="D115" s="52" t="s">
        <v>127</v>
      </c>
      <c r="E115" s="53"/>
      <c r="F115" s="53" t="s">
        <v>59</v>
      </c>
      <c r="G115" s="54">
        <v>3</v>
      </c>
    </row>
    <row r="116" spans="1:7" ht="14.1">
      <c r="A116" s="52" t="s">
        <v>108</v>
      </c>
      <c r="B116" s="52" t="s">
        <v>145</v>
      </c>
      <c r="C116" s="52" t="s">
        <v>39</v>
      </c>
      <c r="D116" s="52" t="s">
        <v>127</v>
      </c>
      <c r="E116" s="53"/>
      <c r="F116" s="53" t="s">
        <v>166</v>
      </c>
      <c r="G116" s="54">
        <v>1</v>
      </c>
    </row>
    <row r="117" spans="1:7" ht="14.1">
      <c r="A117" s="52" t="s">
        <v>108</v>
      </c>
      <c r="B117" s="52" t="s">
        <v>145</v>
      </c>
      <c r="C117" s="52" t="s">
        <v>39</v>
      </c>
      <c r="D117" s="52" t="s">
        <v>127</v>
      </c>
      <c r="E117" s="53"/>
      <c r="F117" s="53" t="s">
        <v>167</v>
      </c>
      <c r="G117" s="54">
        <v>1</v>
      </c>
    </row>
    <row r="118" spans="1:7" ht="14.1">
      <c r="A118" s="52" t="s">
        <v>108</v>
      </c>
      <c r="B118" s="52" t="s">
        <v>145</v>
      </c>
      <c r="C118" s="52" t="s">
        <v>110</v>
      </c>
      <c r="D118" s="52" t="s">
        <v>127</v>
      </c>
      <c r="E118" s="53">
        <v>90</v>
      </c>
      <c r="F118" s="53" t="s">
        <v>121</v>
      </c>
      <c r="G118" s="54">
        <v>2</v>
      </c>
    </row>
    <row r="119" spans="1:7" ht="14.1">
      <c r="A119" s="52" t="s">
        <v>108</v>
      </c>
      <c r="B119" s="52" t="s">
        <v>145</v>
      </c>
      <c r="C119" s="52" t="s">
        <v>110</v>
      </c>
      <c r="D119" s="52" t="s">
        <v>127</v>
      </c>
      <c r="E119" s="53"/>
      <c r="F119" s="53" t="s">
        <v>59</v>
      </c>
      <c r="G119" s="54">
        <v>65</v>
      </c>
    </row>
    <row r="120" spans="1:7" ht="14.1">
      <c r="A120" s="52" t="s">
        <v>108</v>
      </c>
      <c r="B120" s="52" t="s">
        <v>145</v>
      </c>
      <c r="C120" s="52" t="s">
        <v>168</v>
      </c>
      <c r="D120" s="52" t="s">
        <v>127</v>
      </c>
      <c r="E120" s="53">
        <v>7</v>
      </c>
      <c r="F120" s="53"/>
      <c r="G120" s="54"/>
    </row>
    <row r="121" spans="1:7" ht="14.1">
      <c r="A121" s="52" t="s">
        <v>108</v>
      </c>
      <c r="B121" s="52" t="s">
        <v>169</v>
      </c>
      <c r="C121" s="52" t="s">
        <v>39</v>
      </c>
      <c r="D121" s="52" t="s">
        <v>170</v>
      </c>
      <c r="E121" s="53">
        <v>12</v>
      </c>
      <c r="F121" s="53" t="s">
        <v>125</v>
      </c>
      <c r="G121" s="54">
        <v>2</v>
      </c>
    </row>
    <row r="122" spans="1:7" ht="14.1">
      <c r="A122" s="52" t="s">
        <v>108</v>
      </c>
      <c r="B122" s="52" t="s">
        <v>169</v>
      </c>
      <c r="C122" s="52" t="s">
        <v>39</v>
      </c>
      <c r="D122" s="52" t="s">
        <v>171</v>
      </c>
      <c r="E122" s="53">
        <v>47</v>
      </c>
      <c r="F122" s="53" t="s">
        <v>121</v>
      </c>
      <c r="G122" s="54">
        <v>1.7</v>
      </c>
    </row>
    <row r="123" spans="1:7" ht="14.1">
      <c r="A123" s="52" t="s">
        <v>108</v>
      </c>
      <c r="B123" s="52" t="s">
        <v>169</v>
      </c>
      <c r="C123" s="52" t="s">
        <v>39</v>
      </c>
      <c r="D123" s="52" t="s">
        <v>171</v>
      </c>
      <c r="E123" s="53"/>
      <c r="F123" s="53" t="s">
        <v>59</v>
      </c>
      <c r="G123" s="54">
        <v>5</v>
      </c>
    </row>
    <row r="124" spans="1:7" ht="14.1">
      <c r="A124" s="52" t="s">
        <v>108</v>
      </c>
      <c r="B124" s="52" t="s">
        <v>169</v>
      </c>
      <c r="C124" s="52" t="s">
        <v>110</v>
      </c>
      <c r="D124" s="52" t="s">
        <v>171</v>
      </c>
      <c r="E124" s="53">
        <v>2</v>
      </c>
      <c r="F124" s="53" t="s">
        <v>172</v>
      </c>
      <c r="G124" s="54">
        <v>3</v>
      </c>
    </row>
    <row r="125" spans="1:7" ht="14.1">
      <c r="A125" s="52" t="s">
        <v>108</v>
      </c>
      <c r="B125" s="52" t="s">
        <v>173</v>
      </c>
      <c r="C125" s="52" t="s">
        <v>39</v>
      </c>
      <c r="D125" s="52" t="s">
        <v>174</v>
      </c>
      <c r="E125" s="53">
        <v>15</v>
      </c>
      <c r="F125" s="53"/>
      <c r="G125" s="54"/>
    </row>
    <row r="126" spans="1:7" ht="14.1">
      <c r="A126" s="52" t="s">
        <v>108</v>
      </c>
      <c r="B126" s="52" t="s">
        <v>175</v>
      </c>
      <c r="C126" s="52" t="s">
        <v>74</v>
      </c>
      <c r="D126" s="52" t="s">
        <v>176</v>
      </c>
      <c r="E126" s="53">
        <v>1</v>
      </c>
      <c r="F126" s="53" t="s">
        <v>59</v>
      </c>
      <c r="G126" s="54">
        <v>1</v>
      </c>
    </row>
    <row r="127" spans="1:7" ht="14.1">
      <c r="A127" s="52" t="s">
        <v>108</v>
      </c>
      <c r="B127" s="52" t="s">
        <v>175</v>
      </c>
      <c r="C127" s="52" t="s">
        <v>39</v>
      </c>
      <c r="D127" s="52" t="s">
        <v>177</v>
      </c>
      <c r="E127" s="53">
        <v>4</v>
      </c>
      <c r="F127" s="53" t="s">
        <v>178</v>
      </c>
      <c r="G127" s="54">
        <v>4</v>
      </c>
    </row>
    <row r="128" spans="1:7" ht="14.1">
      <c r="A128" s="52" t="s">
        <v>108</v>
      </c>
      <c r="B128" s="52" t="s">
        <v>175</v>
      </c>
      <c r="C128" s="52" t="s">
        <v>39</v>
      </c>
      <c r="D128" s="52" t="s">
        <v>176</v>
      </c>
      <c r="E128" s="53">
        <v>38</v>
      </c>
      <c r="F128" s="53" t="s">
        <v>125</v>
      </c>
      <c r="G128" s="54">
        <v>1</v>
      </c>
    </row>
    <row r="129" spans="1:7" ht="14.1">
      <c r="A129" s="52" t="s">
        <v>108</v>
      </c>
      <c r="B129" s="52" t="s">
        <v>175</v>
      </c>
      <c r="C129" s="52" t="s">
        <v>39</v>
      </c>
      <c r="D129" s="52" t="s">
        <v>176</v>
      </c>
      <c r="E129" s="53"/>
      <c r="F129" s="53" t="s">
        <v>121</v>
      </c>
      <c r="G129" s="54">
        <v>1</v>
      </c>
    </row>
    <row r="130" spans="1:7" ht="14.1">
      <c r="A130" s="52" t="s">
        <v>108</v>
      </c>
      <c r="B130" s="52" t="s">
        <v>175</v>
      </c>
      <c r="C130" s="52" t="s">
        <v>39</v>
      </c>
      <c r="D130" s="52" t="s">
        <v>176</v>
      </c>
      <c r="E130" s="53"/>
      <c r="F130" s="53" t="s">
        <v>122</v>
      </c>
      <c r="G130" s="54">
        <v>1</v>
      </c>
    </row>
    <row r="131" spans="1:7" ht="14.1">
      <c r="A131" s="52" t="s">
        <v>108</v>
      </c>
      <c r="B131" s="52" t="s">
        <v>175</v>
      </c>
      <c r="C131" s="52" t="s">
        <v>110</v>
      </c>
      <c r="D131" s="52" t="s">
        <v>177</v>
      </c>
      <c r="E131" s="53">
        <v>5</v>
      </c>
      <c r="F131" s="53" t="s">
        <v>172</v>
      </c>
      <c r="G131" s="54">
        <v>5</v>
      </c>
    </row>
    <row r="132" spans="1:7" ht="14.1">
      <c r="A132" s="52" t="s">
        <v>108</v>
      </c>
      <c r="B132" s="52" t="s">
        <v>175</v>
      </c>
      <c r="C132" s="52" t="s">
        <v>110</v>
      </c>
      <c r="D132" s="52" t="s">
        <v>176</v>
      </c>
      <c r="E132" s="53">
        <v>1</v>
      </c>
      <c r="F132" s="53" t="s">
        <v>112</v>
      </c>
      <c r="G132" s="54">
        <v>1</v>
      </c>
    </row>
    <row r="133" spans="1:7" ht="14.1">
      <c r="A133" s="52" t="s">
        <v>108</v>
      </c>
      <c r="B133" s="52" t="s">
        <v>179</v>
      </c>
      <c r="C133" s="52" t="s">
        <v>39</v>
      </c>
      <c r="D133" s="52" t="s">
        <v>180</v>
      </c>
      <c r="E133" s="53">
        <v>5</v>
      </c>
      <c r="F133" s="53"/>
      <c r="G133" s="54"/>
    </row>
    <row r="134" spans="1:7" ht="14.1">
      <c r="A134" s="52" t="s">
        <v>108</v>
      </c>
      <c r="B134" s="52" t="s">
        <v>181</v>
      </c>
      <c r="C134" s="52" t="s">
        <v>39</v>
      </c>
      <c r="D134" s="52" t="s">
        <v>182</v>
      </c>
      <c r="E134" s="53">
        <v>3</v>
      </c>
      <c r="F134" s="53" t="s">
        <v>179</v>
      </c>
      <c r="G134" s="54">
        <v>3</v>
      </c>
    </row>
    <row r="135" spans="1:7" ht="14.1">
      <c r="A135" s="52" t="s">
        <v>108</v>
      </c>
      <c r="B135" s="52" t="s">
        <v>183</v>
      </c>
      <c r="C135" s="52" t="s">
        <v>39</v>
      </c>
      <c r="D135" s="52" t="s">
        <v>184</v>
      </c>
      <c r="E135" s="53">
        <v>12</v>
      </c>
      <c r="F135" s="53"/>
      <c r="G135" s="54"/>
    </row>
    <row r="136" spans="1:7" ht="14.1">
      <c r="A136" s="52" t="s">
        <v>108</v>
      </c>
      <c r="B136" s="52" t="s">
        <v>185</v>
      </c>
      <c r="C136" s="52" t="s">
        <v>74</v>
      </c>
      <c r="D136" s="52" t="s">
        <v>186</v>
      </c>
      <c r="E136" s="53">
        <v>1</v>
      </c>
      <c r="F136" s="53"/>
      <c r="G136" s="54"/>
    </row>
    <row r="137" spans="1:7" ht="14.1">
      <c r="A137" s="52" t="s">
        <v>108</v>
      </c>
      <c r="B137" s="52" t="s">
        <v>185</v>
      </c>
      <c r="C137" s="52" t="s">
        <v>39</v>
      </c>
      <c r="D137" s="52" t="s">
        <v>186</v>
      </c>
      <c r="E137" s="53">
        <v>22</v>
      </c>
      <c r="F137" s="53"/>
      <c r="G137" s="54"/>
    </row>
    <row r="138" spans="1:7" ht="14.1">
      <c r="A138" s="52" t="s">
        <v>108</v>
      </c>
      <c r="B138" s="52" t="s">
        <v>141</v>
      </c>
      <c r="C138" s="52" t="s">
        <v>39</v>
      </c>
      <c r="D138" s="52" t="s">
        <v>187</v>
      </c>
      <c r="E138" s="53">
        <v>7</v>
      </c>
      <c r="F138" s="53" t="s">
        <v>59</v>
      </c>
      <c r="G138" s="54">
        <v>1</v>
      </c>
    </row>
    <row r="139" spans="1:7" ht="14.1">
      <c r="A139" s="52" t="s">
        <v>108</v>
      </c>
      <c r="B139" s="52" t="s">
        <v>188</v>
      </c>
      <c r="C139" s="52" t="s">
        <v>39</v>
      </c>
      <c r="D139" s="52" t="s">
        <v>189</v>
      </c>
      <c r="E139" s="53">
        <v>21</v>
      </c>
      <c r="F139" s="53" t="s">
        <v>166</v>
      </c>
      <c r="G139" s="54">
        <v>0.8</v>
      </c>
    </row>
    <row r="140" spans="1:7" ht="14.1">
      <c r="A140" s="52" t="s">
        <v>108</v>
      </c>
      <c r="B140" s="52" t="s">
        <v>190</v>
      </c>
      <c r="C140" s="52" t="s">
        <v>39</v>
      </c>
      <c r="D140" s="52" t="s">
        <v>191</v>
      </c>
      <c r="E140" s="53">
        <v>18</v>
      </c>
      <c r="F140" s="53" t="s">
        <v>125</v>
      </c>
      <c r="G140" s="54">
        <v>3</v>
      </c>
    </row>
    <row r="141" spans="1:7" ht="14.1">
      <c r="A141" s="52" t="s">
        <v>108</v>
      </c>
      <c r="B141" s="52" t="s">
        <v>190</v>
      </c>
      <c r="C141" s="52" t="s">
        <v>39</v>
      </c>
      <c r="D141" s="52" t="s">
        <v>191</v>
      </c>
      <c r="E141" s="53"/>
      <c r="F141" s="53" t="s">
        <v>142</v>
      </c>
      <c r="G141" s="54">
        <v>1</v>
      </c>
    </row>
    <row r="142" spans="1:7" ht="14.1">
      <c r="A142" s="52" t="s">
        <v>108</v>
      </c>
      <c r="B142" s="52" t="s">
        <v>192</v>
      </c>
      <c r="C142" s="52" t="s">
        <v>74</v>
      </c>
      <c r="D142" s="52" t="s">
        <v>193</v>
      </c>
      <c r="E142" s="53">
        <v>63</v>
      </c>
      <c r="F142" s="53"/>
      <c r="G142" s="54"/>
    </row>
    <row r="143" spans="1:7" ht="14.1">
      <c r="A143" s="52" t="s">
        <v>108</v>
      </c>
      <c r="B143" s="52" t="s">
        <v>192</v>
      </c>
      <c r="C143" s="52" t="s">
        <v>39</v>
      </c>
      <c r="D143" s="52" t="s">
        <v>194</v>
      </c>
      <c r="E143" s="53">
        <v>29</v>
      </c>
      <c r="F143" s="53" t="s">
        <v>148</v>
      </c>
      <c r="G143" s="54">
        <v>29</v>
      </c>
    </row>
    <row r="144" spans="1:7" ht="14.1">
      <c r="A144" s="52" t="s">
        <v>108</v>
      </c>
      <c r="B144" s="52" t="s">
        <v>192</v>
      </c>
      <c r="C144" s="52" t="s">
        <v>39</v>
      </c>
      <c r="D144" s="52" t="s">
        <v>195</v>
      </c>
      <c r="E144" s="53">
        <v>11</v>
      </c>
      <c r="F144" s="53"/>
      <c r="G144" s="54"/>
    </row>
    <row r="145" spans="1:7" ht="14.1">
      <c r="A145" s="52" t="s">
        <v>108</v>
      </c>
      <c r="B145" s="52" t="s">
        <v>196</v>
      </c>
      <c r="C145" s="52" t="s">
        <v>117</v>
      </c>
      <c r="D145" s="52" t="s">
        <v>113</v>
      </c>
      <c r="E145" s="53">
        <v>17</v>
      </c>
      <c r="F145" s="53" t="s">
        <v>122</v>
      </c>
      <c r="G145" s="54">
        <v>2</v>
      </c>
    </row>
    <row r="146" spans="1:7" ht="14.1">
      <c r="A146" s="52" t="s">
        <v>108</v>
      </c>
      <c r="B146" s="52" t="s">
        <v>196</v>
      </c>
      <c r="C146" s="52" t="s">
        <v>117</v>
      </c>
      <c r="D146" s="52" t="s">
        <v>126</v>
      </c>
      <c r="E146" s="53">
        <v>4</v>
      </c>
      <c r="F146" s="53"/>
      <c r="G146" s="54"/>
    </row>
    <row r="147" spans="1:7" ht="14.1">
      <c r="A147" s="52" t="s">
        <v>108</v>
      </c>
      <c r="B147" s="52" t="s">
        <v>196</v>
      </c>
      <c r="C147" s="52" t="s">
        <v>117</v>
      </c>
      <c r="D147" s="52" t="s">
        <v>127</v>
      </c>
      <c r="E147" s="53">
        <v>6</v>
      </c>
      <c r="F147" s="53" t="s">
        <v>122</v>
      </c>
      <c r="G147" s="54">
        <v>1</v>
      </c>
    </row>
    <row r="148" spans="1:7" ht="14.1">
      <c r="A148" s="52" t="s">
        <v>108</v>
      </c>
      <c r="B148" s="52" t="s">
        <v>196</v>
      </c>
      <c r="C148" s="52" t="s">
        <v>117</v>
      </c>
      <c r="D148" s="52" t="s">
        <v>197</v>
      </c>
      <c r="E148" s="53">
        <v>112</v>
      </c>
      <c r="F148" s="53" t="s">
        <v>122</v>
      </c>
      <c r="G148" s="54">
        <v>1</v>
      </c>
    </row>
    <row r="149" spans="1:7" ht="14.1">
      <c r="A149" s="52" t="s">
        <v>108</v>
      </c>
      <c r="B149" s="52" t="s">
        <v>130</v>
      </c>
      <c r="C149" s="52" t="s">
        <v>74</v>
      </c>
      <c r="D149" s="52" t="s">
        <v>198</v>
      </c>
      <c r="E149" s="53">
        <v>1</v>
      </c>
      <c r="F149" s="53" t="s">
        <v>59</v>
      </c>
      <c r="G149" s="54">
        <v>1</v>
      </c>
    </row>
    <row r="150" spans="1:7" ht="14.1">
      <c r="A150" s="52" t="s">
        <v>108</v>
      </c>
      <c r="B150" s="52" t="s">
        <v>130</v>
      </c>
      <c r="C150" s="52" t="s">
        <v>39</v>
      </c>
      <c r="D150" s="52" t="s">
        <v>199</v>
      </c>
      <c r="E150" s="53">
        <v>2</v>
      </c>
      <c r="F150" s="53"/>
      <c r="G150" s="54"/>
    </row>
    <row r="151" spans="1:7" ht="14.1">
      <c r="A151" s="52" t="s">
        <v>108</v>
      </c>
      <c r="B151" s="52" t="s">
        <v>130</v>
      </c>
      <c r="C151" s="52" t="s">
        <v>39</v>
      </c>
      <c r="D151" s="52" t="s">
        <v>200</v>
      </c>
      <c r="E151" s="53">
        <v>2</v>
      </c>
      <c r="F151" s="53"/>
      <c r="G151" s="54"/>
    </row>
    <row r="152" spans="1:7" ht="14.1">
      <c r="A152" s="52" t="s">
        <v>108</v>
      </c>
      <c r="B152" s="52" t="s">
        <v>130</v>
      </c>
      <c r="C152" s="52" t="s">
        <v>39</v>
      </c>
      <c r="D152" s="52" t="s">
        <v>198</v>
      </c>
      <c r="E152" s="53">
        <v>17</v>
      </c>
      <c r="F152" s="53"/>
      <c r="G152" s="54"/>
    </row>
    <row r="153" spans="1:7" ht="14.1">
      <c r="A153" s="52" t="s">
        <v>108</v>
      </c>
      <c r="B153" s="52" t="s">
        <v>130</v>
      </c>
      <c r="C153" s="52" t="s">
        <v>110</v>
      </c>
      <c r="D153" s="52" t="s">
        <v>198</v>
      </c>
      <c r="E153" s="53">
        <v>3</v>
      </c>
      <c r="F153" s="53" t="s">
        <v>59</v>
      </c>
      <c r="G153" s="54">
        <v>2</v>
      </c>
    </row>
    <row r="154" spans="1:7" ht="14.1">
      <c r="A154" s="52" t="s">
        <v>108</v>
      </c>
      <c r="B154" s="52" t="s">
        <v>130</v>
      </c>
      <c r="C154" s="52" t="s">
        <v>110</v>
      </c>
      <c r="D154" s="52" t="s">
        <v>198</v>
      </c>
      <c r="E154" s="53"/>
      <c r="F154" s="53" t="s">
        <v>172</v>
      </c>
      <c r="G154" s="54">
        <v>1</v>
      </c>
    </row>
    <row r="155" spans="1:7" ht="14.1">
      <c r="A155" s="52" t="s">
        <v>108</v>
      </c>
      <c r="B155" s="52" t="s">
        <v>201</v>
      </c>
      <c r="C155" s="52" t="s">
        <v>74</v>
      </c>
      <c r="D155" s="52" t="s">
        <v>137</v>
      </c>
      <c r="E155" s="53">
        <v>55</v>
      </c>
      <c r="F155" s="53"/>
      <c r="G155" s="54"/>
    </row>
    <row r="156" spans="1:7" ht="14.1">
      <c r="A156" s="52" t="s">
        <v>108</v>
      </c>
      <c r="B156" s="52" t="s">
        <v>202</v>
      </c>
      <c r="C156" s="52" t="s">
        <v>110</v>
      </c>
      <c r="D156" s="52" t="s">
        <v>191</v>
      </c>
      <c r="E156" s="53">
        <v>327</v>
      </c>
      <c r="F156" s="53"/>
      <c r="G156" s="54"/>
    </row>
    <row r="157" spans="1:7" ht="14.1">
      <c r="A157" s="52" t="s">
        <v>108</v>
      </c>
      <c r="B157" s="52" t="s">
        <v>203</v>
      </c>
      <c r="C157" s="52" t="s">
        <v>39</v>
      </c>
      <c r="D157" s="52" t="s">
        <v>204</v>
      </c>
      <c r="E157" s="53">
        <v>11</v>
      </c>
      <c r="F157" s="53"/>
      <c r="G157" s="54"/>
    </row>
    <row r="158" spans="1:7" ht="14.1">
      <c r="A158" s="52" t="s">
        <v>108</v>
      </c>
      <c r="B158" s="52" t="s">
        <v>203</v>
      </c>
      <c r="C158" s="52" t="s">
        <v>39</v>
      </c>
      <c r="D158" s="52" t="s">
        <v>205</v>
      </c>
      <c r="E158" s="53">
        <v>8</v>
      </c>
      <c r="F158" s="53"/>
      <c r="G158" s="54"/>
    </row>
    <row r="159" spans="1:7" ht="14.1">
      <c r="A159" s="52" t="s">
        <v>108</v>
      </c>
      <c r="B159" s="52" t="s">
        <v>148</v>
      </c>
      <c r="C159" s="52" t="s">
        <v>74</v>
      </c>
      <c r="D159" s="52" t="s">
        <v>206</v>
      </c>
      <c r="E159" s="53">
        <v>2</v>
      </c>
      <c r="F159" s="53" t="s">
        <v>59</v>
      </c>
      <c r="G159" s="54">
        <v>2</v>
      </c>
    </row>
    <row r="160" spans="1:7" ht="14.1">
      <c r="A160" s="52" t="s">
        <v>108</v>
      </c>
      <c r="B160" s="52" t="s">
        <v>148</v>
      </c>
      <c r="C160" s="52" t="s">
        <v>150</v>
      </c>
      <c r="D160" s="52" t="s">
        <v>206</v>
      </c>
      <c r="E160" s="53">
        <v>1</v>
      </c>
      <c r="F160" s="53" t="s">
        <v>59</v>
      </c>
      <c r="G160" s="54">
        <v>0.8</v>
      </c>
    </row>
    <row r="161" spans="1:7" ht="14.1">
      <c r="A161" s="52" t="s">
        <v>108</v>
      </c>
      <c r="B161" s="52" t="s">
        <v>148</v>
      </c>
      <c r="C161" s="52" t="s">
        <v>39</v>
      </c>
      <c r="D161" s="52" t="s">
        <v>206</v>
      </c>
      <c r="E161" s="53">
        <v>70</v>
      </c>
      <c r="F161" s="53" t="s">
        <v>125</v>
      </c>
      <c r="G161" s="54">
        <v>1</v>
      </c>
    </row>
    <row r="162" spans="1:7" ht="14.1">
      <c r="A162" s="52" t="s">
        <v>108</v>
      </c>
      <c r="B162" s="52" t="s">
        <v>148</v>
      </c>
      <c r="C162" s="52" t="s">
        <v>39</v>
      </c>
      <c r="D162" s="52" t="s">
        <v>206</v>
      </c>
      <c r="E162" s="53"/>
      <c r="F162" s="53" t="s">
        <v>123</v>
      </c>
      <c r="G162" s="54">
        <v>1</v>
      </c>
    </row>
    <row r="163" spans="1:7" ht="14.1">
      <c r="A163" s="52" t="s">
        <v>108</v>
      </c>
      <c r="B163" s="52" t="s">
        <v>148</v>
      </c>
      <c r="C163" s="52" t="s">
        <v>39</v>
      </c>
      <c r="D163" s="52" t="s">
        <v>206</v>
      </c>
      <c r="E163" s="53"/>
      <c r="F163" s="53" t="s">
        <v>192</v>
      </c>
      <c r="G163" s="54">
        <v>0.5</v>
      </c>
    </row>
    <row r="164" spans="1:7" ht="14.1">
      <c r="A164" s="52" t="s">
        <v>108</v>
      </c>
      <c r="B164" s="52" t="s">
        <v>148</v>
      </c>
      <c r="C164" s="52" t="s">
        <v>110</v>
      </c>
      <c r="D164" s="52" t="s">
        <v>206</v>
      </c>
      <c r="E164" s="53">
        <v>2</v>
      </c>
      <c r="F164" s="53" t="s">
        <v>59</v>
      </c>
      <c r="G164" s="54">
        <v>2</v>
      </c>
    </row>
    <row r="165" spans="1:7" ht="14.1">
      <c r="A165" s="52" t="s">
        <v>108</v>
      </c>
      <c r="B165" s="52" t="s">
        <v>167</v>
      </c>
      <c r="C165" s="52" t="s">
        <v>39</v>
      </c>
      <c r="D165" s="52" t="s">
        <v>113</v>
      </c>
      <c r="E165" s="53">
        <v>20</v>
      </c>
      <c r="F165" s="53"/>
      <c r="G165" s="54"/>
    </row>
    <row r="166" spans="1:7" ht="14.1">
      <c r="A166" s="52" t="s">
        <v>108</v>
      </c>
      <c r="B166" s="52" t="s">
        <v>167</v>
      </c>
      <c r="C166" s="52" t="s">
        <v>39</v>
      </c>
      <c r="D166" s="52" t="s">
        <v>118</v>
      </c>
      <c r="E166" s="53">
        <v>20</v>
      </c>
      <c r="F166" s="53" t="s">
        <v>125</v>
      </c>
      <c r="G166" s="54">
        <v>1</v>
      </c>
    </row>
    <row r="167" spans="1:7" ht="14.1">
      <c r="A167" s="52" t="s">
        <v>108</v>
      </c>
      <c r="B167" s="52" t="s">
        <v>167</v>
      </c>
      <c r="C167" s="52" t="s">
        <v>39</v>
      </c>
      <c r="D167" s="52" t="s">
        <v>118</v>
      </c>
      <c r="E167" s="53"/>
      <c r="F167" s="53" t="s">
        <v>59</v>
      </c>
      <c r="G167" s="54">
        <v>0.5</v>
      </c>
    </row>
    <row r="168" spans="1:7" ht="14.1">
      <c r="A168" s="52" t="s">
        <v>108</v>
      </c>
      <c r="B168" s="52" t="s">
        <v>167</v>
      </c>
      <c r="C168" s="52" t="s">
        <v>39</v>
      </c>
      <c r="D168" s="52" t="s">
        <v>126</v>
      </c>
      <c r="E168" s="53">
        <v>30</v>
      </c>
      <c r="F168" s="53"/>
      <c r="G168" s="54"/>
    </row>
    <row r="169" spans="1:7" ht="14.1">
      <c r="A169" s="52" t="s">
        <v>108</v>
      </c>
      <c r="B169" s="52" t="s">
        <v>167</v>
      </c>
      <c r="C169" s="52" t="s">
        <v>39</v>
      </c>
      <c r="D169" s="52" t="s">
        <v>127</v>
      </c>
      <c r="E169" s="53">
        <v>57</v>
      </c>
      <c r="F169" s="53" t="s">
        <v>207</v>
      </c>
      <c r="G169" s="54">
        <v>0.5</v>
      </c>
    </row>
    <row r="170" spans="1:7" ht="14.1">
      <c r="A170" s="52" t="s">
        <v>108</v>
      </c>
      <c r="B170" s="52" t="s">
        <v>167</v>
      </c>
      <c r="C170" s="52" t="s">
        <v>168</v>
      </c>
      <c r="D170" s="52" t="s">
        <v>113</v>
      </c>
      <c r="E170" s="53">
        <v>2</v>
      </c>
      <c r="F170" s="53"/>
      <c r="G170" s="54"/>
    </row>
    <row r="171" spans="1:7" ht="14.1">
      <c r="A171" s="52" t="s">
        <v>108</v>
      </c>
      <c r="B171" s="52" t="s">
        <v>167</v>
      </c>
      <c r="C171" s="52" t="s">
        <v>168</v>
      </c>
      <c r="D171" s="52" t="s">
        <v>126</v>
      </c>
      <c r="E171" s="53">
        <v>2</v>
      </c>
      <c r="F171" s="53"/>
      <c r="G171" s="54"/>
    </row>
    <row r="172" spans="1:7" ht="14.1">
      <c r="A172" s="52" t="s">
        <v>108</v>
      </c>
      <c r="B172" s="52" t="s">
        <v>167</v>
      </c>
      <c r="C172" s="52" t="s">
        <v>168</v>
      </c>
      <c r="D172" s="52" t="s">
        <v>127</v>
      </c>
      <c r="E172" s="53">
        <v>3</v>
      </c>
      <c r="F172" s="53"/>
      <c r="G172" s="54"/>
    </row>
    <row r="173" spans="1:7" ht="14.1">
      <c r="A173" s="52" t="s">
        <v>108</v>
      </c>
      <c r="B173" s="52" t="s">
        <v>167</v>
      </c>
      <c r="C173" s="52" t="s">
        <v>208</v>
      </c>
      <c r="D173" s="52" t="s">
        <v>127</v>
      </c>
      <c r="E173" s="53">
        <v>1</v>
      </c>
      <c r="F173" s="53"/>
      <c r="G173" s="54"/>
    </row>
    <row r="174" spans="1:7" ht="14.1">
      <c r="A174" s="52" t="s">
        <v>108</v>
      </c>
      <c r="B174" s="52" t="s">
        <v>209</v>
      </c>
      <c r="C174" s="52" t="s">
        <v>99</v>
      </c>
      <c r="D174" s="52" t="s">
        <v>210</v>
      </c>
      <c r="E174" s="53">
        <v>1045</v>
      </c>
      <c r="F174" s="53"/>
      <c r="G174" s="54"/>
    </row>
    <row r="175" spans="1:7" ht="14.1">
      <c r="A175" s="52" t="s">
        <v>108</v>
      </c>
      <c r="B175" s="52" t="s">
        <v>211</v>
      </c>
      <c r="C175" s="52" t="s">
        <v>39</v>
      </c>
      <c r="D175" s="52" t="s">
        <v>212</v>
      </c>
      <c r="E175" s="53">
        <v>37</v>
      </c>
      <c r="F175" s="53"/>
      <c r="G175" s="54"/>
    </row>
    <row r="176" spans="1:7" ht="14.1">
      <c r="A176" s="52" t="s">
        <v>108</v>
      </c>
      <c r="B176" s="52" t="s">
        <v>213</v>
      </c>
      <c r="C176" s="52" t="s">
        <v>110</v>
      </c>
      <c r="D176" s="52" t="s">
        <v>214</v>
      </c>
      <c r="E176" s="53">
        <v>69</v>
      </c>
      <c r="F176" s="53"/>
      <c r="G176" s="54"/>
    </row>
    <row r="177" spans="1:7" ht="14.1">
      <c r="A177" s="52" t="s">
        <v>108</v>
      </c>
      <c r="B177" s="52" t="s">
        <v>215</v>
      </c>
      <c r="C177" s="52" t="s">
        <v>39</v>
      </c>
      <c r="D177" s="52" t="s">
        <v>216</v>
      </c>
      <c r="E177" s="53">
        <v>26</v>
      </c>
      <c r="F177" s="53" t="s">
        <v>125</v>
      </c>
      <c r="G177" s="54">
        <v>1</v>
      </c>
    </row>
    <row r="178" spans="1:7" ht="14.1">
      <c r="A178" s="52" t="s">
        <v>108</v>
      </c>
      <c r="B178" s="52" t="s">
        <v>215</v>
      </c>
      <c r="C178" s="52" t="s">
        <v>39</v>
      </c>
      <c r="D178" s="52" t="s">
        <v>216</v>
      </c>
      <c r="E178" s="53"/>
      <c r="F178" s="53" t="s">
        <v>59</v>
      </c>
      <c r="G178" s="54">
        <v>0.5</v>
      </c>
    </row>
    <row r="179" spans="1:7" ht="14.1">
      <c r="A179" s="52" t="s">
        <v>108</v>
      </c>
      <c r="B179" s="52" t="s">
        <v>217</v>
      </c>
      <c r="C179" s="52" t="s">
        <v>74</v>
      </c>
      <c r="D179" s="52" t="s">
        <v>218</v>
      </c>
      <c r="E179" s="53">
        <v>74</v>
      </c>
      <c r="F179" s="53"/>
      <c r="G179" s="54"/>
    </row>
    <row r="180" spans="1:7" ht="14.1">
      <c r="A180" s="52" t="s">
        <v>108</v>
      </c>
      <c r="B180" s="52" t="s">
        <v>219</v>
      </c>
      <c r="C180" s="52" t="s">
        <v>110</v>
      </c>
      <c r="D180" s="52" t="s">
        <v>220</v>
      </c>
      <c r="E180" s="53">
        <v>66</v>
      </c>
      <c r="F180" s="53"/>
      <c r="G180" s="54"/>
    </row>
    <row r="181" spans="1:7" ht="14.1">
      <c r="A181" s="52" t="s">
        <v>108</v>
      </c>
      <c r="B181" s="52" t="s">
        <v>219</v>
      </c>
      <c r="C181" s="52" t="s">
        <v>110</v>
      </c>
      <c r="D181" s="52" t="s">
        <v>221</v>
      </c>
      <c r="E181" s="53">
        <v>118</v>
      </c>
      <c r="F181" s="53"/>
      <c r="G181" s="54"/>
    </row>
    <row r="182" spans="1:7" ht="14.1">
      <c r="A182" s="52" t="s">
        <v>108</v>
      </c>
      <c r="B182" s="52" t="s">
        <v>222</v>
      </c>
      <c r="C182" s="52" t="s">
        <v>74</v>
      </c>
      <c r="D182" s="52" t="s">
        <v>223</v>
      </c>
      <c r="E182" s="53">
        <v>56</v>
      </c>
      <c r="F182" s="53"/>
      <c r="G182" s="54"/>
    </row>
    <row r="183" spans="1:7" ht="14.1">
      <c r="A183" s="52" t="s">
        <v>108</v>
      </c>
      <c r="B183" s="52" t="s">
        <v>224</v>
      </c>
      <c r="C183" s="52" t="s">
        <v>74</v>
      </c>
      <c r="D183" s="52" t="s">
        <v>225</v>
      </c>
      <c r="E183" s="53">
        <v>143</v>
      </c>
      <c r="F183" s="53"/>
      <c r="G183" s="54"/>
    </row>
    <row r="184" spans="1:7" ht="14.1">
      <c r="A184" s="52" t="s">
        <v>108</v>
      </c>
      <c r="B184" s="52" t="s">
        <v>226</v>
      </c>
      <c r="C184" s="52" t="s">
        <v>74</v>
      </c>
      <c r="D184" s="52" t="s">
        <v>227</v>
      </c>
      <c r="E184" s="53">
        <v>1</v>
      </c>
      <c r="F184" s="53"/>
      <c r="G184" s="54"/>
    </row>
    <row r="185" spans="1:7" ht="14.1">
      <c r="A185" s="52" t="s">
        <v>108</v>
      </c>
      <c r="B185" s="52" t="s">
        <v>228</v>
      </c>
      <c r="C185" s="52" t="s">
        <v>74</v>
      </c>
      <c r="D185" s="52" t="s">
        <v>127</v>
      </c>
      <c r="E185" s="53">
        <v>9</v>
      </c>
      <c r="F185" s="53"/>
      <c r="G185" s="54"/>
    </row>
    <row r="186" spans="1:7" ht="14.1">
      <c r="A186" s="52" t="s">
        <v>229</v>
      </c>
      <c r="B186" s="52" t="s">
        <v>230</v>
      </c>
      <c r="C186" s="52" t="s">
        <v>39</v>
      </c>
      <c r="D186" s="52" t="s">
        <v>231</v>
      </c>
      <c r="E186" s="53">
        <v>14</v>
      </c>
      <c r="F186" s="53"/>
      <c r="G186" s="54"/>
    </row>
    <row r="187" spans="1:7" ht="14.1">
      <c r="A187" s="52" t="s">
        <v>229</v>
      </c>
      <c r="B187" s="52" t="s">
        <v>232</v>
      </c>
      <c r="C187" s="52" t="s">
        <v>39</v>
      </c>
      <c r="D187" s="52" t="s">
        <v>233</v>
      </c>
      <c r="E187" s="53">
        <v>35</v>
      </c>
      <c r="F187" s="53" t="s">
        <v>163</v>
      </c>
      <c r="G187" s="54">
        <v>1.7</v>
      </c>
    </row>
    <row r="188" spans="1:7" ht="14.1">
      <c r="A188" s="52" t="s">
        <v>229</v>
      </c>
      <c r="B188" s="52" t="s">
        <v>232</v>
      </c>
      <c r="C188" s="52" t="s">
        <v>39</v>
      </c>
      <c r="D188" s="52" t="s">
        <v>233</v>
      </c>
      <c r="E188" s="53"/>
      <c r="F188" s="53" t="s">
        <v>234</v>
      </c>
      <c r="G188" s="54">
        <v>0.4</v>
      </c>
    </row>
    <row r="189" spans="1:7" ht="14.1">
      <c r="A189" s="52" t="s">
        <v>229</v>
      </c>
      <c r="B189" s="52" t="s">
        <v>232</v>
      </c>
      <c r="C189" s="52" t="s">
        <v>39</v>
      </c>
      <c r="D189" s="52" t="s">
        <v>233</v>
      </c>
      <c r="E189" s="53"/>
      <c r="F189" s="53" t="s">
        <v>235</v>
      </c>
      <c r="G189" s="54">
        <v>5.5</v>
      </c>
    </row>
    <row r="190" spans="1:7" ht="14.1">
      <c r="A190" s="52" t="s">
        <v>229</v>
      </c>
      <c r="B190" s="52" t="s">
        <v>236</v>
      </c>
      <c r="C190" s="52" t="s">
        <v>39</v>
      </c>
      <c r="D190" s="52" t="s">
        <v>237</v>
      </c>
      <c r="E190" s="53">
        <v>4</v>
      </c>
      <c r="F190" s="53"/>
      <c r="G190" s="54"/>
    </row>
    <row r="191" spans="1:7" ht="14.1">
      <c r="A191" s="52" t="s">
        <v>229</v>
      </c>
      <c r="B191" s="52" t="s">
        <v>238</v>
      </c>
      <c r="C191" s="52" t="s">
        <v>39</v>
      </c>
      <c r="D191" s="52" t="s">
        <v>239</v>
      </c>
      <c r="E191" s="53">
        <v>37</v>
      </c>
      <c r="F191" s="53"/>
      <c r="G191" s="54"/>
    </row>
    <row r="192" spans="1:7" ht="14.1">
      <c r="A192" s="52" t="s">
        <v>229</v>
      </c>
      <c r="B192" s="52" t="s">
        <v>238</v>
      </c>
      <c r="C192" s="52" t="s">
        <v>39</v>
      </c>
      <c r="D192" s="52" t="s">
        <v>240</v>
      </c>
      <c r="E192" s="53">
        <v>1</v>
      </c>
      <c r="F192" s="53"/>
      <c r="G192" s="54"/>
    </row>
    <row r="193" spans="1:7" ht="14.1">
      <c r="A193" s="52" t="s">
        <v>229</v>
      </c>
      <c r="B193" s="52" t="s">
        <v>238</v>
      </c>
      <c r="C193" s="52" t="s">
        <v>39</v>
      </c>
      <c r="D193" s="52" t="s">
        <v>241</v>
      </c>
      <c r="E193" s="53">
        <v>1</v>
      </c>
      <c r="F193" s="53"/>
      <c r="G193" s="54"/>
    </row>
    <row r="194" spans="1:7" ht="14.1">
      <c r="A194" s="52" t="s">
        <v>229</v>
      </c>
      <c r="B194" s="52" t="s">
        <v>242</v>
      </c>
      <c r="C194" s="52" t="s">
        <v>39</v>
      </c>
      <c r="D194" s="52" t="s">
        <v>243</v>
      </c>
      <c r="E194" s="53">
        <v>44</v>
      </c>
      <c r="F194" s="53" t="s">
        <v>235</v>
      </c>
      <c r="G194" s="54">
        <v>1</v>
      </c>
    </row>
    <row r="195" spans="1:7" ht="14.1">
      <c r="A195" s="52" t="s">
        <v>229</v>
      </c>
      <c r="B195" s="52" t="s">
        <v>235</v>
      </c>
      <c r="C195" s="52" t="s">
        <v>39</v>
      </c>
      <c r="D195" s="52" t="s">
        <v>239</v>
      </c>
      <c r="E195" s="53">
        <v>16</v>
      </c>
      <c r="F195" s="53" t="s">
        <v>163</v>
      </c>
      <c r="G195" s="54">
        <v>1</v>
      </c>
    </row>
    <row r="196" spans="1:7" ht="14.1">
      <c r="A196" s="52" t="s">
        <v>229</v>
      </c>
      <c r="B196" s="52" t="s">
        <v>235</v>
      </c>
      <c r="C196" s="52" t="s">
        <v>39</v>
      </c>
      <c r="D196" s="52" t="s">
        <v>239</v>
      </c>
      <c r="E196" s="53"/>
      <c r="F196" s="53" t="s">
        <v>59</v>
      </c>
      <c r="G196" s="54">
        <v>1</v>
      </c>
    </row>
    <row r="197" spans="1:7" ht="14.1">
      <c r="A197" s="52" t="s">
        <v>244</v>
      </c>
      <c r="B197" s="52" t="s">
        <v>51</v>
      </c>
      <c r="C197" s="52" t="s">
        <v>52</v>
      </c>
      <c r="D197" s="52" t="s">
        <v>245</v>
      </c>
      <c r="E197" s="53">
        <v>21</v>
      </c>
      <c r="F197" s="53"/>
      <c r="G197" s="54"/>
    </row>
    <row r="198" spans="1:7" ht="14.1">
      <c r="A198" s="52" t="s">
        <v>244</v>
      </c>
      <c r="B198" s="52" t="s">
        <v>246</v>
      </c>
      <c r="C198" s="52" t="s">
        <v>39</v>
      </c>
      <c r="D198" s="52" t="s">
        <v>247</v>
      </c>
      <c r="E198" s="53">
        <v>45</v>
      </c>
      <c r="F198" s="53" t="s">
        <v>164</v>
      </c>
      <c r="G198" s="54">
        <v>1</v>
      </c>
    </row>
    <row r="199" spans="1:7" ht="14.1">
      <c r="A199" s="52" t="s">
        <v>244</v>
      </c>
      <c r="B199" s="52" t="s">
        <v>246</v>
      </c>
      <c r="C199" s="52" t="s">
        <v>39</v>
      </c>
      <c r="D199" s="52" t="s">
        <v>247</v>
      </c>
      <c r="E199" s="53"/>
      <c r="F199" s="53" t="s">
        <v>248</v>
      </c>
      <c r="G199" s="54">
        <v>0.1</v>
      </c>
    </row>
    <row r="200" spans="1:7" ht="14.1">
      <c r="A200" s="52" t="s">
        <v>244</v>
      </c>
      <c r="B200" s="52" t="s">
        <v>249</v>
      </c>
      <c r="C200" s="52" t="s">
        <v>39</v>
      </c>
      <c r="D200" s="52" t="s">
        <v>250</v>
      </c>
      <c r="E200" s="53">
        <v>39</v>
      </c>
      <c r="F200" s="53"/>
      <c r="G200" s="54"/>
    </row>
    <row r="201" spans="1:7" ht="14.1">
      <c r="A201" s="52" t="s">
        <v>244</v>
      </c>
      <c r="B201" s="52" t="s">
        <v>251</v>
      </c>
      <c r="C201" s="52" t="s">
        <v>39</v>
      </c>
      <c r="D201" s="52" t="s">
        <v>252</v>
      </c>
      <c r="E201" s="53">
        <v>38</v>
      </c>
      <c r="F201" s="53"/>
      <c r="G201" s="54"/>
    </row>
    <row r="202" spans="1:7" ht="14.1">
      <c r="A202" s="52" t="s">
        <v>244</v>
      </c>
      <c r="B202" s="52" t="s">
        <v>251</v>
      </c>
      <c r="C202" s="52" t="s">
        <v>39</v>
      </c>
      <c r="D202" s="52" t="s">
        <v>253</v>
      </c>
      <c r="E202" s="53">
        <v>6</v>
      </c>
      <c r="F202" s="53"/>
      <c r="G202" s="54"/>
    </row>
    <row r="203" spans="1:7" ht="14.1">
      <c r="A203" s="52" t="s">
        <v>244</v>
      </c>
      <c r="B203" s="52" t="s">
        <v>248</v>
      </c>
      <c r="C203" s="52" t="s">
        <v>39</v>
      </c>
      <c r="D203" s="52" t="s">
        <v>254</v>
      </c>
      <c r="E203" s="53">
        <v>9</v>
      </c>
      <c r="F203" s="53"/>
      <c r="G203" s="54"/>
    </row>
    <row r="204" spans="1:7" ht="14.1">
      <c r="A204" s="52" t="s">
        <v>255</v>
      </c>
      <c r="B204" s="52" t="s">
        <v>256</v>
      </c>
      <c r="C204" s="52" t="s">
        <v>39</v>
      </c>
      <c r="D204" s="52" t="s">
        <v>257</v>
      </c>
      <c r="E204" s="53">
        <v>14</v>
      </c>
      <c r="F204" s="53" t="s">
        <v>59</v>
      </c>
      <c r="G204" s="54">
        <v>1</v>
      </c>
    </row>
    <row r="205" spans="1:7" ht="14.1">
      <c r="A205" s="52" t="s">
        <v>255</v>
      </c>
      <c r="B205" s="52" t="s">
        <v>256</v>
      </c>
      <c r="C205" s="52" t="s">
        <v>39</v>
      </c>
      <c r="D205" s="52" t="s">
        <v>258</v>
      </c>
      <c r="E205" s="53">
        <v>14</v>
      </c>
      <c r="F205" s="53" t="s">
        <v>59</v>
      </c>
      <c r="G205" s="54">
        <v>0.5</v>
      </c>
    </row>
    <row r="206" spans="1:7" ht="14.1">
      <c r="A206" s="52" t="s">
        <v>255</v>
      </c>
      <c r="B206" s="52" t="s">
        <v>259</v>
      </c>
      <c r="C206" s="52" t="s">
        <v>39</v>
      </c>
      <c r="D206" s="52" t="s">
        <v>260</v>
      </c>
      <c r="E206" s="53">
        <v>3</v>
      </c>
      <c r="F206" s="53"/>
      <c r="G206" s="54"/>
    </row>
    <row r="207" spans="1:7" ht="14.1">
      <c r="A207" s="52" t="s">
        <v>255</v>
      </c>
      <c r="B207" s="52" t="s">
        <v>261</v>
      </c>
      <c r="C207" s="52" t="s">
        <v>74</v>
      </c>
      <c r="D207" s="52" t="s">
        <v>260</v>
      </c>
      <c r="E207" s="53">
        <v>1</v>
      </c>
      <c r="F207" s="53" t="s">
        <v>59</v>
      </c>
      <c r="G207" s="54">
        <v>1</v>
      </c>
    </row>
    <row r="208" spans="1:7" ht="14.1">
      <c r="A208" s="52" t="s">
        <v>255</v>
      </c>
      <c r="B208" s="52" t="s">
        <v>261</v>
      </c>
      <c r="C208" s="52" t="s">
        <v>74</v>
      </c>
      <c r="D208" s="52" t="s">
        <v>262</v>
      </c>
      <c r="E208" s="53">
        <v>67</v>
      </c>
      <c r="F208" s="53" t="s">
        <v>59</v>
      </c>
      <c r="G208" s="54">
        <v>56</v>
      </c>
    </row>
    <row r="209" spans="1:7" ht="14.1">
      <c r="A209" s="52" t="s">
        <v>255</v>
      </c>
      <c r="B209" s="52" t="s">
        <v>261</v>
      </c>
      <c r="C209" s="52" t="s">
        <v>74</v>
      </c>
      <c r="D209" s="52" t="s">
        <v>258</v>
      </c>
      <c r="E209" s="53">
        <v>7</v>
      </c>
      <c r="F209" s="53" t="s">
        <v>59</v>
      </c>
      <c r="G209" s="54">
        <v>7</v>
      </c>
    </row>
    <row r="210" spans="1:7" ht="14.1">
      <c r="A210" s="52" t="s">
        <v>255</v>
      </c>
      <c r="B210" s="52" t="s">
        <v>261</v>
      </c>
      <c r="C210" s="52" t="s">
        <v>140</v>
      </c>
      <c r="D210" s="52" t="s">
        <v>260</v>
      </c>
      <c r="E210" s="53">
        <v>1</v>
      </c>
      <c r="F210" s="53" t="s">
        <v>59</v>
      </c>
      <c r="G210" s="54">
        <v>1</v>
      </c>
    </row>
    <row r="211" spans="1:7" ht="14.1">
      <c r="A211" s="52" t="s">
        <v>255</v>
      </c>
      <c r="B211" s="52" t="s">
        <v>261</v>
      </c>
      <c r="C211" s="52" t="s">
        <v>39</v>
      </c>
      <c r="D211" s="52" t="s">
        <v>263</v>
      </c>
      <c r="E211" s="53">
        <v>6</v>
      </c>
      <c r="F211" s="53" t="s">
        <v>59</v>
      </c>
      <c r="G211" s="54">
        <v>2</v>
      </c>
    </row>
    <row r="212" spans="1:7" ht="14.1">
      <c r="A212" s="52" t="s">
        <v>255</v>
      </c>
      <c r="B212" s="52" t="s">
        <v>261</v>
      </c>
      <c r="C212" s="52" t="s">
        <v>39</v>
      </c>
      <c r="D212" s="52" t="s">
        <v>260</v>
      </c>
      <c r="E212" s="53">
        <v>267</v>
      </c>
      <c r="F212" s="53" t="s">
        <v>59</v>
      </c>
      <c r="G212" s="54">
        <v>8.3000000000000007</v>
      </c>
    </row>
    <row r="213" spans="1:7" ht="14.1">
      <c r="A213" s="52" t="s">
        <v>255</v>
      </c>
      <c r="B213" s="52" t="s">
        <v>261</v>
      </c>
      <c r="C213" s="52" t="s">
        <v>39</v>
      </c>
      <c r="D213" s="52" t="s">
        <v>264</v>
      </c>
      <c r="E213" s="53">
        <v>94</v>
      </c>
      <c r="F213" s="53" t="s">
        <v>59</v>
      </c>
      <c r="G213" s="54">
        <v>1</v>
      </c>
    </row>
    <row r="214" spans="1:7" ht="14.1">
      <c r="A214" s="52" t="s">
        <v>255</v>
      </c>
      <c r="B214" s="52" t="s">
        <v>261</v>
      </c>
      <c r="C214" s="52" t="s">
        <v>39</v>
      </c>
      <c r="D214" s="52" t="s">
        <v>265</v>
      </c>
      <c r="E214" s="53">
        <v>5</v>
      </c>
      <c r="F214" s="53" t="s">
        <v>163</v>
      </c>
      <c r="G214" s="54">
        <v>1</v>
      </c>
    </row>
    <row r="215" spans="1:7" ht="14.1">
      <c r="A215" s="52" t="s">
        <v>255</v>
      </c>
      <c r="B215" s="52" t="s">
        <v>261</v>
      </c>
      <c r="C215" s="52" t="s">
        <v>39</v>
      </c>
      <c r="D215" s="52" t="s">
        <v>265</v>
      </c>
      <c r="E215" s="53"/>
      <c r="F215" s="53" t="s">
        <v>235</v>
      </c>
      <c r="G215" s="54">
        <v>4</v>
      </c>
    </row>
    <row r="216" spans="1:7" ht="14.1">
      <c r="A216" s="52" t="s">
        <v>255</v>
      </c>
      <c r="B216" s="52" t="s">
        <v>261</v>
      </c>
      <c r="C216" s="52" t="s">
        <v>39</v>
      </c>
      <c r="D216" s="52" t="s">
        <v>262</v>
      </c>
      <c r="E216" s="53">
        <v>29</v>
      </c>
      <c r="F216" s="53" t="s">
        <v>59</v>
      </c>
      <c r="G216" s="54">
        <v>1</v>
      </c>
    </row>
    <row r="217" spans="1:7" ht="14.1">
      <c r="A217" s="52" t="s">
        <v>255</v>
      </c>
      <c r="B217" s="52" t="s">
        <v>261</v>
      </c>
      <c r="C217" s="52" t="s">
        <v>39</v>
      </c>
      <c r="D217" s="52" t="s">
        <v>262</v>
      </c>
      <c r="E217" s="53"/>
      <c r="F217" s="53" t="s">
        <v>235</v>
      </c>
      <c r="G217" s="54">
        <v>1</v>
      </c>
    </row>
    <row r="218" spans="1:7" ht="14.1">
      <c r="A218" s="52" t="s">
        <v>255</v>
      </c>
      <c r="B218" s="52" t="s">
        <v>261</v>
      </c>
      <c r="C218" s="52" t="s">
        <v>39</v>
      </c>
      <c r="D218" s="52" t="s">
        <v>266</v>
      </c>
      <c r="E218" s="53">
        <v>10</v>
      </c>
      <c r="F218" s="53"/>
      <c r="G218" s="54"/>
    </row>
    <row r="219" spans="1:7" ht="14.1">
      <c r="A219" s="52" t="s">
        <v>255</v>
      </c>
      <c r="B219" s="52" t="s">
        <v>261</v>
      </c>
      <c r="C219" s="52" t="s">
        <v>39</v>
      </c>
      <c r="D219" s="52" t="s">
        <v>267</v>
      </c>
      <c r="E219" s="53">
        <v>5</v>
      </c>
      <c r="F219" s="53"/>
      <c r="G219" s="54"/>
    </row>
    <row r="220" spans="1:7" ht="14.1">
      <c r="A220" s="52" t="s">
        <v>255</v>
      </c>
      <c r="B220" s="52" t="s">
        <v>261</v>
      </c>
      <c r="C220" s="52" t="s">
        <v>39</v>
      </c>
      <c r="D220" s="52" t="s">
        <v>258</v>
      </c>
      <c r="E220" s="53">
        <v>379</v>
      </c>
      <c r="F220" s="53" t="s">
        <v>59</v>
      </c>
      <c r="G220" s="54">
        <v>5</v>
      </c>
    </row>
    <row r="221" spans="1:7" ht="14.1">
      <c r="A221" s="52" t="s">
        <v>255</v>
      </c>
      <c r="B221" s="52" t="s">
        <v>261</v>
      </c>
      <c r="C221" s="52" t="s">
        <v>39</v>
      </c>
      <c r="D221" s="52" t="s">
        <v>268</v>
      </c>
      <c r="E221" s="53">
        <v>9</v>
      </c>
      <c r="F221" s="53"/>
      <c r="G221" s="54"/>
    </row>
    <row r="222" spans="1:7" ht="14.1">
      <c r="A222" s="52" t="s">
        <v>255</v>
      </c>
      <c r="B222" s="52" t="s">
        <v>261</v>
      </c>
      <c r="C222" s="52" t="s">
        <v>110</v>
      </c>
      <c r="D222" s="52" t="s">
        <v>260</v>
      </c>
      <c r="E222" s="53">
        <v>1</v>
      </c>
      <c r="F222" s="53" t="s">
        <v>59</v>
      </c>
      <c r="G222" s="54">
        <v>1</v>
      </c>
    </row>
    <row r="223" spans="1:7" ht="14.1">
      <c r="A223" s="52" t="s">
        <v>255</v>
      </c>
      <c r="B223" s="52" t="s">
        <v>261</v>
      </c>
      <c r="C223" s="52" t="s">
        <v>110</v>
      </c>
      <c r="D223" s="52" t="s">
        <v>258</v>
      </c>
      <c r="E223" s="53">
        <v>2</v>
      </c>
      <c r="F223" s="53" t="s">
        <v>59</v>
      </c>
      <c r="G223" s="54">
        <v>1</v>
      </c>
    </row>
    <row r="224" spans="1:7" ht="14.1">
      <c r="A224" s="52" t="s">
        <v>255</v>
      </c>
      <c r="B224" s="52" t="s">
        <v>261</v>
      </c>
      <c r="C224" s="52" t="s">
        <v>110</v>
      </c>
      <c r="D224" s="52" t="s">
        <v>258</v>
      </c>
      <c r="E224" s="53"/>
      <c r="F224" s="53" t="s">
        <v>172</v>
      </c>
      <c r="G224" s="54">
        <v>1</v>
      </c>
    </row>
    <row r="225" spans="1:7" ht="14.1">
      <c r="A225" s="52" t="s">
        <v>255</v>
      </c>
      <c r="B225" s="52" t="s">
        <v>261</v>
      </c>
      <c r="C225" s="52" t="s">
        <v>208</v>
      </c>
      <c r="D225" s="52" t="s">
        <v>260</v>
      </c>
      <c r="E225" s="53">
        <v>1</v>
      </c>
      <c r="F225" s="53" t="s">
        <v>59</v>
      </c>
      <c r="G225" s="54">
        <v>1</v>
      </c>
    </row>
    <row r="226" spans="1:7" ht="14.1">
      <c r="A226" s="52" t="s">
        <v>255</v>
      </c>
      <c r="B226" s="52" t="s">
        <v>269</v>
      </c>
      <c r="C226" s="52" t="s">
        <v>74</v>
      </c>
      <c r="D226" s="52" t="s">
        <v>270</v>
      </c>
      <c r="E226" s="53">
        <v>11</v>
      </c>
      <c r="F226" s="53"/>
      <c r="G226" s="54"/>
    </row>
    <row r="227" spans="1:7" ht="14.1">
      <c r="A227" s="52"/>
      <c r="B227" s="52"/>
      <c r="C227" s="52"/>
      <c r="D227" s="52"/>
      <c r="E227" s="53"/>
      <c r="F227" s="53"/>
      <c r="G227" s="54"/>
    </row>
    <row r="228" spans="1:7" ht="14.1">
      <c r="A228" s="52"/>
      <c r="B228" s="52"/>
      <c r="C228" s="52"/>
      <c r="D228" s="52"/>
      <c r="E228" s="53"/>
      <c r="F228" s="53"/>
      <c r="G228" s="54"/>
    </row>
    <row r="229" spans="1:7" ht="14.1">
      <c r="A229" s="52"/>
      <c r="B229" s="52"/>
      <c r="C229" s="52"/>
      <c r="D229" s="52"/>
      <c r="E229" s="53"/>
      <c r="F229" s="53"/>
      <c r="G229" s="54"/>
    </row>
    <row r="230" spans="1:7" ht="14.1">
      <c r="A230" s="55"/>
      <c r="B230" s="55"/>
      <c r="C230" s="55"/>
      <c r="D230" s="55"/>
      <c r="E230" s="56"/>
      <c r="F230" s="56"/>
      <c r="G230" s="57"/>
    </row>
  </sheetData>
  <mergeCells count="1">
    <mergeCell ref="E1:G1"/>
  </mergeCells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FB2AB78651F2F489C3D4F54710A43B3" ma:contentTypeVersion="7" ma:contentTypeDescription="Ein neues Dokument erstellen." ma:contentTypeScope="" ma:versionID="dcf02374c0dcbb57dbe689fbdcad2c22">
  <xsd:schema xmlns:xsd="http://www.w3.org/2001/XMLSchema" xmlns:xs="http://www.w3.org/2001/XMLSchema" xmlns:p="http://schemas.microsoft.com/office/2006/metadata/properties" xmlns:ns2="1f04e056-7ea7-47b0-943e-a19642f5de6d" targetNamespace="http://schemas.microsoft.com/office/2006/metadata/properties" ma:root="true" ma:fieldsID="b8652bf3fe2360521703b633b0c32fab" ns2:_="">
    <xsd:import namespace="1f04e056-7ea7-47b0-943e-a19642f5d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4e056-7ea7-47b0-943e-a19642f5de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1A307-7AAB-4DEC-8C30-FAB8518D93A8}"/>
</file>

<file path=customXml/itemProps2.xml><?xml version="1.0" encoding="utf-8"?>
<ds:datastoreItem xmlns:ds="http://schemas.openxmlformats.org/officeDocument/2006/customXml" ds:itemID="{8F716620-A4C4-492D-BEF4-76115479BE13}"/>
</file>

<file path=customXml/itemProps3.xml><?xml version="1.0" encoding="utf-8"?>
<ds:datastoreItem xmlns:ds="http://schemas.openxmlformats.org/officeDocument/2006/customXml" ds:itemID="{2CE3CEB7-1410-413F-ABCC-9BC62F331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Schlegel Julian (6CO2A)</dc:creator>
  <cp:keywords/>
  <dc:description/>
  <cp:lastModifiedBy>Paule GRANGETTE</cp:lastModifiedBy>
  <cp:revision/>
  <dcterms:created xsi:type="dcterms:W3CDTF">2015-06-05T18:19:34Z</dcterms:created>
  <dcterms:modified xsi:type="dcterms:W3CDTF">2026-05-27T12:43:38Z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9ac9c2-fcd2-4d0b-8613-b7f540967ed5_Enabled">
    <vt:lpwstr>true</vt:lpwstr>
  </property>
  <property fmtid="{D5CDD505-2E9C-101B-9397-08002B2CF9AE}" pid="3" name="MSIP_Label_ae9ac9c2-fcd2-4d0b-8613-b7f540967ed5_SetDate">
    <vt:lpwstr>2026-04-22T07:12:36Z</vt:lpwstr>
  </property>
  <property fmtid="{D5CDD505-2E9C-101B-9397-08002B2CF9AE}" pid="4" name="MSIP_Label_ae9ac9c2-fcd2-4d0b-8613-b7f540967ed5_Method">
    <vt:lpwstr>Privileged</vt:lpwstr>
  </property>
  <property fmtid="{D5CDD505-2E9C-101B-9397-08002B2CF9AE}" pid="5" name="MSIP_Label_ae9ac9c2-fcd2-4d0b-8613-b7f540967ed5_Name">
    <vt:lpwstr>COMPANY RESTRICTED - BUSINESS USE</vt:lpwstr>
  </property>
  <property fmtid="{D5CDD505-2E9C-101B-9397-08002B2CF9AE}" pid="6" name="MSIP_Label_ae9ac9c2-fcd2-4d0b-8613-b7f540967ed5_SiteId">
    <vt:lpwstr>74bddbd9-705c-456e-aabd-99beb719a2b2</vt:lpwstr>
  </property>
  <property fmtid="{D5CDD505-2E9C-101B-9397-08002B2CF9AE}" pid="7" name="MSIP_Label_ae9ac9c2-fcd2-4d0b-8613-b7f540967ed5_ActionId">
    <vt:lpwstr>ad0a2a46-71b1-4b7a-b0a2-ab7430cad226</vt:lpwstr>
  </property>
  <property fmtid="{D5CDD505-2E9C-101B-9397-08002B2CF9AE}" pid="8" name="MSIP_Label_ae9ac9c2-fcd2-4d0b-8613-b7f540967ed5_ContentBits">
    <vt:lpwstr>0</vt:lpwstr>
  </property>
  <property fmtid="{D5CDD505-2E9C-101B-9397-08002B2CF9AE}" pid="9" name="MSIP_Label_ae9ac9c2-fcd2-4d0b-8613-b7f540967ed5_Tag">
    <vt:lpwstr>10, 0, 1, 1</vt:lpwstr>
  </property>
  <property fmtid="{D5CDD505-2E9C-101B-9397-08002B2CF9AE}" pid="10" name="ContentTypeId">
    <vt:lpwstr>0x0101004FB2AB78651F2F489C3D4F54710A43B3</vt:lpwstr>
  </property>
</Properties>
</file>